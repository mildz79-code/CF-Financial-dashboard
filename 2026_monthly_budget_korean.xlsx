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2026 월별 예산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0.0\%"/>
    <numFmt numFmtId="167" formatCode="$#,##0;&quot;($&quot;#,##0);\-"/>
    <numFmt numFmtId="168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Cambria"/>
      <charset val="1"/>
      <family val="0"/>
      <b val="1"/>
      <sz val="14"/>
    </font>
    <font>
      <name val="Noto Sans CJK SC"/>
      <family val="2"/>
      <i val="1"/>
      <sz val="10"/>
    </font>
    <font>
      <name val="Cambria"/>
      <charset val="1"/>
      <family val="0"/>
      <i val="1"/>
      <sz val="10"/>
    </font>
    <font>
      <name val="Noto Sans CJK SC"/>
      <family val="2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Noto Sans CJK SC"/>
      <family val="2"/>
      <b val="1"/>
      <color rgb="FFFFFFFF"/>
      <sz val="10"/>
    </font>
    <font>
      <name val="Cambria"/>
      <charset val="1"/>
      <family val="0"/>
      <i val="1"/>
      <color rgb="FF666666"/>
      <sz val="9"/>
    </font>
    <font>
      <name val="Noto Sans CJK SC"/>
      <family val="2"/>
      <i val="1"/>
      <color rgb="FF666666"/>
      <sz val="9"/>
    </font>
    <font>
      <name val="Noto Sans CJK SC"/>
      <family val="2"/>
      <color theme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color rgb="FF000000"/>
      <sz val="11"/>
    </font>
    <font>
      <name val="Noto Sans CJK SC"/>
      <family val="2"/>
      <b val="1"/>
      <sz val="10"/>
    </font>
    <font>
      <name val="Noto Sans CJK SC"/>
      <family val="2"/>
      <b val="1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2"/>
    </font>
    <font>
      <name val="Noto Sans CJK SC"/>
      <family val="2"/>
      <b val="1"/>
      <color rgb="FFFFFFFF"/>
      <sz val="12"/>
    </font>
    <font>
      <b val="1"/>
      <sz val="10"/>
    </font>
    <font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E7E6E6"/>
      </patternFill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165" fontId="15" fillId="3" borderId="1" applyAlignment="1" pivotButton="0" quotePrefix="0" xfId="0">
      <alignment horizontal="general" vertical="bottom"/>
    </xf>
    <xf numFmtId="166" fontId="15" fillId="4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164" fontId="15" fillId="4" borderId="1" applyAlignment="1" pivotButton="0" quotePrefix="0" xfId="0">
      <alignment horizontal="general" vertical="bottom"/>
    </xf>
    <xf numFmtId="0" fontId="19" fillId="5" borderId="1" applyAlignment="1" pivotButton="0" quotePrefix="0" xfId="0">
      <alignment horizontal="general" vertical="bottom"/>
    </xf>
    <xf numFmtId="164" fontId="20" fillId="5" borderId="1" applyAlignment="1" pivotButton="0" quotePrefix="0" xfId="0">
      <alignment horizontal="general" vertical="bottom"/>
    </xf>
    <xf numFmtId="165" fontId="20" fillId="5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general" vertical="bottom"/>
    </xf>
    <xf numFmtId="165" fontId="9" fillId="6" borderId="1" applyAlignment="1" pivotButton="0" quotePrefix="0" xfId="0">
      <alignment horizontal="general" vertical="bottom"/>
    </xf>
    <xf numFmtId="0" fontId="21" fillId="2" borderId="2" applyAlignment="1" pivotButton="0" quotePrefix="0" xfId="0">
      <alignment horizontal="center" vertical="bottom"/>
    </xf>
    <xf numFmtId="0" fontId="19" fillId="7" borderId="2" applyAlignment="1" pivotButton="0" quotePrefix="0" xfId="0">
      <alignment horizontal="left" vertical="bottom"/>
    </xf>
    <xf numFmtId="0" fontId="0" fillId="7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164" fontId="14" fillId="1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165" fontId="15" fillId="3" borderId="1" applyAlignment="1" pivotButton="0" quotePrefix="0" xfId="0">
      <alignment horizontal="general" vertical="bottom"/>
    </xf>
    <xf numFmtId="166" fontId="15" fillId="4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0" fontId="18" fillId="4" borderId="1" applyAlignment="1" pivotButton="0" quotePrefix="0" xfId="0">
      <alignment horizontal="general" vertical="bottom"/>
    </xf>
    <xf numFmtId="164" fontId="15" fillId="4" borderId="1" applyAlignment="1" pivotButton="0" quotePrefix="0" xfId="0">
      <alignment horizontal="general" vertical="bottom"/>
    </xf>
    <xf numFmtId="167" fontId="23" fillId="8" borderId="1" applyAlignment="1" pivotButton="0" quotePrefix="0" xfId="0">
      <alignment horizontal="general" vertical="bottom"/>
    </xf>
    <xf numFmtId="0" fontId="19" fillId="5" borderId="1" applyAlignment="1" pivotButton="0" quotePrefix="0" xfId="0">
      <alignment horizontal="general" vertical="bottom"/>
    </xf>
    <xf numFmtId="164" fontId="20" fillId="5" borderId="1" applyAlignment="1" pivotButton="0" quotePrefix="0" xfId="0">
      <alignment horizontal="general" vertical="bottom"/>
    </xf>
    <xf numFmtId="165" fontId="20" fillId="5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general" vertical="bottom"/>
    </xf>
    <xf numFmtId="167" fontId="24" fillId="9" borderId="1" applyAlignment="1" pivotButton="0" quotePrefix="0" xfId="0">
      <alignment horizontal="general" vertical="bottom"/>
    </xf>
    <xf numFmtId="164" fontId="9" fillId="6" borderId="1" applyAlignment="1" pivotButton="0" quotePrefix="0" xfId="0">
      <alignment horizontal="general" vertical="bottom"/>
    </xf>
    <xf numFmtId="165" fontId="9" fillId="6" borderId="1" applyAlignment="1" pivotButton="0" quotePrefix="0" xfId="0">
      <alignment horizontal="general" vertical="bottom"/>
    </xf>
    <xf numFmtId="0" fontId="21" fillId="2" borderId="2" applyAlignment="1" pivotButton="0" quotePrefix="0" xfId="0">
      <alignment horizontal="center" vertical="bottom"/>
    </xf>
    <xf numFmtId="0" fontId="0" fillId="0" borderId="4" pivotButton="0" quotePrefix="0" xfId="0"/>
    <xf numFmtId="0" fontId="19" fillId="7" borderId="2" applyAlignment="1" pivotButton="0" quotePrefix="0" xfId="0">
      <alignment horizontal="left" vertical="bottom"/>
    </xf>
    <xf numFmtId="0" fontId="0" fillId="7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168" fontId="23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5" customWidth="1" style="29" min="1" max="1"/>
    <col width="13" customWidth="1" style="29" min="2" max="2"/>
    <col width="13" customWidth="1" style="29" min="3" max="16"/>
  </cols>
  <sheetData>
    <row r="1" ht="21.6" customHeight="1" s="30">
      <c r="A1" s="31" t="inlineStr">
        <is>
          <t>컬러패션 염색 및 마감 - 2026년 연초 누계 (1월만)</t>
        </is>
      </c>
    </row>
    <row r="2" ht="15" customHeight="1" s="30">
      <c r="A2" s="32" t="inlineStr">
        <is>
          <t>백분율 배분이 포함된 월별 손익 분석 (1월만)</t>
        </is>
      </c>
    </row>
    <row r="4" ht="17.15" customHeight="1" s="30">
      <c r="A4" s="33" t="inlineStr">
        <is>
          <t>카테고리</t>
        </is>
      </c>
      <c r="B4" s="34" t="inlineStr">
        <is>
          <t>1월</t>
        </is>
      </c>
      <c r="C4" s="34" t="inlineStr">
        <is>
          <t>2월</t>
        </is>
      </c>
      <c r="D4" s="34" t="inlineStr">
        <is>
          <t>3월</t>
        </is>
      </c>
      <c r="E4" s="34" t="inlineStr">
        <is>
          <t>4월</t>
        </is>
      </c>
      <c r="F4" s="34" t="inlineStr">
        <is>
          <t>5월</t>
        </is>
      </c>
      <c r="G4" s="34" t="inlineStr">
        <is>
          <t>6월</t>
        </is>
      </c>
      <c r="H4" s="34" t="inlineStr">
        <is>
          <t>7월</t>
        </is>
      </c>
      <c r="I4" s="34" t="inlineStr">
        <is>
          <t>8월</t>
        </is>
      </c>
      <c r="J4" s="34" t="inlineStr">
        <is>
          <t>9월</t>
        </is>
      </c>
      <c r="K4" s="34" t="inlineStr">
        <is>
          <t>10월</t>
        </is>
      </c>
      <c r="L4" s="34" t="inlineStr">
        <is>
          <t>11월</t>
        </is>
      </c>
      <c r="M4" s="34" t="inlineStr">
        <is>
          <t>12월</t>
        </is>
      </c>
      <c r="N4" s="35" t="inlineStr">
        <is>
          <t>합계</t>
        </is>
      </c>
      <c r="O4" s="35" t="inlineStr">
        <is>
          <t>수익 대비 %</t>
        </is>
      </c>
      <c r="P4" s="35" t="inlineStr">
        <is>
          <t>역사적 %</t>
        </is>
      </c>
    </row>
    <row r="5" ht="15" customHeight="1" s="30">
      <c r="A5" s="36" t="inlineStr">
        <is>
          <t>수익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8" t="inlineStr">
        <is>
          <t>1월 vs 평균</t>
        </is>
      </c>
    </row>
    <row r="6" ht="17.15" customHeight="1" s="30">
      <c r="A6" s="39" t="inlineStr">
        <is>
          <t>총 수익 (매출)</t>
        </is>
      </c>
      <c r="B6" s="40" t="n">
        <v>844680</v>
      </c>
      <c r="C6" s="41" t="n">
        <v>0</v>
      </c>
      <c r="D6" s="41" t="n">
        <v>0</v>
      </c>
      <c r="E6" s="41" t="n">
        <v>0</v>
      </c>
      <c r="F6" s="41" t="n">
        <v>0</v>
      </c>
      <c r="G6" s="41" t="n">
        <v>0</v>
      </c>
      <c r="H6" s="41" t="n">
        <v>0</v>
      </c>
      <c r="I6" s="41" t="n">
        <v>0</v>
      </c>
      <c r="J6" s="41" t="n">
        <v>0</v>
      </c>
      <c r="K6" s="41" t="n">
        <v>0</v>
      </c>
      <c r="L6" s="41" t="n">
        <v>0</v>
      </c>
      <c r="M6" s="41" t="n">
        <v>0</v>
      </c>
      <c r="N6" s="42">
        <f>SUM(B6:M6)</f>
        <v/>
      </c>
      <c r="O6" s="43" t="n">
        <v>1</v>
      </c>
      <c r="P6" s="44">
        <f>IFERROR(B6/962703.5*100,0)</f>
        <v/>
      </c>
    </row>
    <row r="8" ht="15" customHeight="1" s="30">
      <c r="A8" s="36" t="inlineStr">
        <is>
          <t>매출원가 (COGS)</t>
        </is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</row>
    <row r="9" ht="17.15" customHeight="1" s="30">
      <c r="A9" s="39" t="inlineStr">
        <is>
          <t>직접 노동 - Samuel Hale</t>
        </is>
      </c>
      <c r="B9" s="45" t="n">
        <v>191612</v>
      </c>
      <c r="C9" s="41" t="n">
        <v>0</v>
      </c>
      <c r="D9" s="41" t="n">
        <v>0</v>
      </c>
      <c r="E9" s="41" t="n">
        <v>0</v>
      </c>
      <c r="F9" s="41" t="n">
        <v>0</v>
      </c>
      <c r="G9" s="41" t="n">
        <v>0</v>
      </c>
      <c r="H9" s="4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6">
        <f>SUM(B9:M9)</f>
        <v/>
      </c>
      <c r="O9" s="47">
        <f>N9/N$6</f>
        <v/>
      </c>
      <c r="P9" s="48">
        <f>IFERROR(B9/1*100,0)</f>
        <v/>
      </c>
    </row>
    <row r="10" ht="17.15" customHeight="1" s="30">
      <c r="A10" s="39" t="inlineStr">
        <is>
          <t>직접 노동 - 인력</t>
        </is>
      </c>
      <c r="B10" s="45" t="n">
        <v>13153</v>
      </c>
      <c r="C10" s="41" t="n">
        <v>0</v>
      </c>
      <c r="D10" s="41" t="n">
        <v>0</v>
      </c>
      <c r="E10" s="41" t="n">
        <v>0</v>
      </c>
      <c r="F10" s="41" t="n">
        <v>0</v>
      </c>
      <c r="G10" s="41" t="n">
        <v>0</v>
      </c>
      <c r="H10" s="41" t="n">
        <v>0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</v>
      </c>
      <c r="N10" s="46">
        <f>SUM(B10:M10)</f>
        <v/>
      </c>
      <c r="O10" s="47">
        <f>N10/N$6</f>
        <v/>
      </c>
      <c r="P10" s="48">
        <f>IFERROR(B10/148402.5*100,0)</f>
        <v/>
      </c>
    </row>
    <row r="11" ht="17.15" customHeight="1" s="30">
      <c r="A11" s="39" t="inlineStr">
        <is>
          <t>급여 - 기타</t>
        </is>
      </c>
      <c r="B11" s="45" t="n">
        <v>1126</v>
      </c>
      <c r="C11" s="41" t="n">
        <v>0</v>
      </c>
      <c r="D11" s="41" t="n">
        <v>0</v>
      </c>
      <c r="E11" s="41" t="n">
        <v>0</v>
      </c>
      <c r="F11" s="41" t="n">
        <v>0</v>
      </c>
      <c r="G11" s="41" t="n">
        <v>0</v>
      </c>
      <c r="H11" s="41" t="n">
        <v>0</v>
      </c>
      <c r="I11" s="41" t="n">
        <v>0</v>
      </c>
      <c r="J11" s="41" t="n">
        <v>0</v>
      </c>
      <c r="K11" s="41" t="n">
        <v>0</v>
      </c>
      <c r="L11" s="41" t="n">
        <v>0</v>
      </c>
      <c r="M11" s="41" t="n">
        <v>0</v>
      </c>
      <c r="N11" s="46">
        <f>SUM(B11:M11)</f>
        <v/>
      </c>
      <c r="O11" s="47">
        <f>N11/N$6</f>
        <v/>
      </c>
      <c r="P11" s="48">
        <f>IFERROR(B11/29225.5*100,0)</f>
        <v/>
      </c>
    </row>
    <row r="12" ht="15" customHeight="1" s="30">
      <c r="A12" s="39" t="inlineStr">
        <is>
          <t>화학 물질 및 염료</t>
        </is>
      </c>
      <c r="B12" s="45" t="n">
        <v>104446</v>
      </c>
      <c r="C12" s="41" t="n">
        <v>0</v>
      </c>
      <c r="D12" s="41" t="n">
        <v>0</v>
      </c>
      <c r="E12" s="41" t="n">
        <v>0</v>
      </c>
      <c r="F12" s="41" t="n">
        <v>0</v>
      </c>
      <c r="G12" s="41" t="n">
        <v>0</v>
      </c>
      <c r="H12" s="41" t="n">
        <v>0</v>
      </c>
      <c r="I12" s="41" t="n">
        <v>0</v>
      </c>
      <c r="J12" s="41" t="n">
        <v>0</v>
      </c>
      <c r="K12" s="41" t="n">
        <v>0</v>
      </c>
      <c r="L12" s="41" t="n">
        <v>0</v>
      </c>
      <c r="M12" s="41" t="n">
        <v>0</v>
      </c>
      <c r="N12" s="46">
        <f>SUM(B12:M12)</f>
        <v/>
      </c>
      <c r="O12" s="47">
        <f>N12/N$6</f>
        <v/>
      </c>
      <c r="P12" s="48">
        <f>IFERROR(B12/76*100,0)</f>
        <v/>
      </c>
    </row>
    <row r="13" ht="17.15" customHeight="1" s="30">
      <c r="A13" s="39" t="inlineStr">
        <is>
          <t>마감 용품 - 종이 튜브</t>
        </is>
      </c>
      <c r="B13" s="45" t="n">
        <v>7667</v>
      </c>
      <c r="C13" s="41" t="n">
        <v>0</v>
      </c>
      <c r="D13" s="41" t="n">
        <v>0</v>
      </c>
      <c r="E13" s="41" t="n">
        <v>0</v>
      </c>
      <c r="F13" s="41" t="n">
        <v>0</v>
      </c>
      <c r="G13" s="41" t="n">
        <v>0</v>
      </c>
      <c r="H13" s="41" t="n">
        <v>0</v>
      </c>
      <c r="I13" s="41" t="n">
        <v>0</v>
      </c>
      <c r="J13" s="41" t="n">
        <v>0</v>
      </c>
      <c r="K13" s="41" t="n">
        <v>0</v>
      </c>
      <c r="L13" s="41" t="n">
        <v>0</v>
      </c>
      <c r="M13" s="41" t="n">
        <v>0</v>
      </c>
      <c r="N13" s="46">
        <f>SUM(B13:M13)</f>
        <v/>
      </c>
      <c r="O13" s="47">
        <f>N13/N$6</f>
        <v/>
      </c>
      <c r="P13" s="48">
        <f>IFERROR(B13/110830.5*100,0)</f>
        <v/>
      </c>
    </row>
    <row r="14" ht="17.15" customHeight="1" s="30">
      <c r="A14" s="39" t="inlineStr">
        <is>
          <t>실험실 용품 (테스트)</t>
        </is>
      </c>
      <c r="B14" s="45" t="n">
        <v>1365</v>
      </c>
      <c r="C14" s="41" t="n">
        <v>0</v>
      </c>
      <c r="D14" s="41" t="n">
        <v>0</v>
      </c>
      <c r="E14" s="41" t="n">
        <v>0</v>
      </c>
      <c r="F14" s="41" t="n">
        <v>0</v>
      </c>
      <c r="G14" s="41" t="n">
        <v>0</v>
      </c>
      <c r="H14" s="41" t="n">
        <v>0</v>
      </c>
      <c r="I14" s="41" t="n">
        <v>0</v>
      </c>
      <c r="J14" s="41" t="n">
        <v>0</v>
      </c>
      <c r="K14" s="41" t="n">
        <v>0</v>
      </c>
      <c r="L14" s="41" t="n">
        <v>0</v>
      </c>
      <c r="M14" s="41" t="n">
        <v>0</v>
      </c>
      <c r="N14" s="46">
        <f>SUM(B14:M14)</f>
        <v/>
      </c>
      <c r="O14" s="47">
        <f>N14/N$6</f>
        <v/>
      </c>
      <c r="P14" s="48">
        <f>IFERROR(B14/79642*100,0)</f>
        <v/>
      </c>
    </row>
    <row r="15" ht="15" customHeight="1" s="30">
      <c r="A15" s="39" t="inlineStr">
        <is>
          <t>공장 용품 및 부품</t>
        </is>
      </c>
      <c r="B15" s="45" t="n">
        <v>7529</v>
      </c>
      <c r="C15" s="41" t="n">
        <v>0</v>
      </c>
      <c r="D15" s="41" t="n">
        <v>0</v>
      </c>
      <c r="E15" s="41" t="n">
        <v>0</v>
      </c>
      <c r="F15" s="41" t="n">
        <v>0</v>
      </c>
      <c r="G15" s="41" t="n">
        <v>0</v>
      </c>
      <c r="H15" s="41" t="n">
        <v>0</v>
      </c>
      <c r="I15" s="41" t="n">
        <v>0</v>
      </c>
      <c r="J15" s="41" t="n">
        <v>0</v>
      </c>
      <c r="K15" s="41" t="n">
        <v>0</v>
      </c>
      <c r="L15" s="41" t="n">
        <v>0</v>
      </c>
      <c r="M15" s="41" t="n">
        <v>0</v>
      </c>
      <c r="N15" s="46">
        <f>SUM(B15:M15)</f>
        <v/>
      </c>
      <c r="O15" s="47">
        <f>N15/N$6</f>
        <v/>
      </c>
      <c r="P15" s="48">
        <f>IFERROR(B15/2943.5*100,0)</f>
        <v/>
      </c>
    </row>
    <row r="16" ht="15" customHeight="1" s="30">
      <c r="A16" s="39" t="inlineStr">
        <is>
          <t>운송 및 배송 비용</t>
        </is>
      </c>
      <c r="B16" s="45" t="n">
        <v>3850</v>
      </c>
      <c r="C16" s="41" t="n">
        <v>0</v>
      </c>
      <c r="D16" s="41" t="n">
        <v>0</v>
      </c>
      <c r="E16" s="41" t="n">
        <v>0</v>
      </c>
      <c r="F16" s="41" t="n">
        <v>0</v>
      </c>
      <c r="G16" s="41" t="n">
        <v>0</v>
      </c>
      <c r="H16" s="41" t="n">
        <v>0</v>
      </c>
      <c r="I16" s="41" t="n">
        <v>0</v>
      </c>
      <c r="J16" s="41" t="n">
        <v>0</v>
      </c>
      <c r="K16" s="41" t="n">
        <v>0</v>
      </c>
      <c r="L16" s="41" t="n">
        <v>0</v>
      </c>
      <c r="M16" s="41" t="n">
        <v>0</v>
      </c>
      <c r="N16" s="46">
        <f>SUM(B16:M16)</f>
        <v/>
      </c>
      <c r="O16" s="47">
        <f>N16/N$6</f>
        <v/>
      </c>
      <c r="P16" s="48">
        <f>IFERROR(B16/2437.5*100,0)</f>
        <v/>
      </c>
    </row>
    <row r="17" ht="15" customHeight="1" s="30">
      <c r="A17" s="39" t="inlineStr">
        <is>
          <t>트럭 수리</t>
        </is>
      </c>
      <c r="B17" s="45" t="n">
        <v>560</v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v>0</v>
      </c>
      <c r="H17" s="41" t="n">
        <v>0</v>
      </c>
      <c r="I17" s="41" t="n">
        <v>0</v>
      </c>
      <c r="J17" s="41" t="n">
        <v>0</v>
      </c>
      <c r="K17" s="41" t="n">
        <v>0</v>
      </c>
      <c r="L17" s="41" t="n">
        <v>0</v>
      </c>
      <c r="M17" s="41" t="n">
        <v>0</v>
      </c>
      <c r="N17" s="46">
        <f>SUM(B17:M17)</f>
        <v/>
      </c>
      <c r="O17" s="47">
        <f>N17/N$6</f>
        <v/>
      </c>
      <c r="P17" s="48">
        <f>IFERROR(B17/551*100,0)</f>
        <v/>
      </c>
    </row>
    <row r="18" ht="17.15" customHeight="1" s="30">
      <c r="A18" s="39" t="inlineStr">
        <is>
          <t>보험 - 책임 및 재산</t>
        </is>
      </c>
      <c r="B18" s="45" t="n">
        <v>2692</v>
      </c>
      <c r="C18" s="41" t="n">
        <v>0</v>
      </c>
      <c r="D18" s="41" t="n">
        <v>0</v>
      </c>
      <c r="E18" s="41" t="n">
        <v>0</v>
      </c>
      <c r="F18" s="41" t="n">
        <v>0</v>
      </c>
      <c r="G18" s="41" t="n">
        <v>0</v>
      </c>
      <c r="H18" s="41" t="n">
        <v>0</v>
      </c>
      <c r="I18" s="41" t="n">
        <v>0</v>
      </c>
      <c r="J18" s="41" t="n">
        <v>0</v>
      </c>
      <c r="K18" s="41" t="n">
        <v>0</v>
      </c>
      <c r="L18" s="41" t="n">
        <v>0</v>
      </c>
      <c r="M18" s="41" t="n">
        <v>0</v>
      </c>
      <c r="N18" s="46">
        <f>SUM(B18:M18)</f>
        <v/>
      </c>
      <c r="O18" s="47">
        <f>N18/N$6</f>
        <v/>
      </c>
      <c r="P18" s="48">
        <f>IFERROR(B18/5171*100,0)</f>
        <v/>
      </c>
    </row>
    <row r="19" ht="17.15" customHeight="1" s="30">
      <c r="A19" s="39" t="inlineStr">
        <is>
          <t>공공요금 - 가스</t>
        </is>
      </c>
      <c r="B19" s="45" t="n">
        <v>49255</v>
      </c>
      <c r="C19" s="41" t="n">
        <v>0</v>
      </c>
      <c r="D19" s="41" t="n">
        <v>0</v>
      </c>
      <c r="E19" s="41" t="n">
        <v>0</v>
      </c>
      <c r="F19" s="41" t="n">
        <v>0</v>
      </c>
      <c r="G19" s="41" t="n">
        <v>0</v>
      </c>
      <c r="H19" s="41" t="n">
        <v>0</v>
      </c>
      <c r="I19" s="41" t="n">
        <v>0</v>
      </c>
      <c r="J19" s="41" t="n">
        <v>0</v>
      </c>
      <c r="K19" s="41" t="n">
        <v>0</v>
      </c>
      <c r="L19" s="41" t="n">
        <v>0</v>
      </c>
      <c r="M19" s="41" t="n">
        <v>0</v>
      </c>
      <c r="N19" s="46">
        <f>SUM(B19:M19)</f>
        <v/>
      </c>
      <c r="O19" s="47">
        <f>N19/N$6</f>
        <v/>
      </c>
      <c r="P19" s="48">
        <f>IFERROR(B19/7044*100,0)</f>
        <v/>
      </c>
    </row>
    <row r="20" ht="17.15" customHeight="1" s="30">
      <c r="A20" s="39" t="inlineStr">
        <is>
          <t>공공요금 - 수도</t>
        </is>
      </c>
      <c r="B20" s="45" t="n">
        <v>25988</v>
      </c>
      <c r="C20" s="41" t="n">
        <v>0</v>
      </c>
      <c r="D20" s="41" t="n">
        <v>0</v>
      </c>
      <c r="E20" s="41" t="n">
        <v>0</v>
      </c>
      <c r="F20" s="41" t="n">
        <v>0</v>
      </c>
      <c r="G20" s="41" t="n">
        <v>0</v>
      </c>
      <c r="H20" s="41" t="n">
        <v>0</v>
      </c>
      <c r="I20" s="41" t="n">
        <v>0</v>
      </c>
      <c r="J20" s="41" t="n">
        <v>0</v>
      </c>
      <c r="K20" s="41" t="n">
        <v>0</v>
      </c>
      <c r="L20" s="41" t="n">
        <v>0</v>
      </c>
      <c r="M20" s="41" t="n">
        <v>0</v>
      </c>
      <c r="N20" s="46">
        <f>SUM(B20:M20)</f>
        <v/>
      </c>
      <c r="O20" s="47">
        <f>N20/N$6</f>
        <v/>
      </c>
      <c r="P20" s="48">
        <f>IFERROR(B20/1*100,0)</f>
        <v/>
      </c>
    </row>
    <row r="21" ht="15" customHeight="1" s="30">
      <c r="A21" s="49" t="inlineStr">
        <is>
          <t>총 매출원가</t>
        </is>
      </c>
      <c r="B21" s="50">
        <f>SUM(B9:B20)</f>
        <v/>
      </c>
      <c r="C21" s="51">
        <f>SUM(C9:C20)</f>
        <v/>
      </c>
      <c r="D21" s="51">
        <f>SUM(D9:D20)</f>
        <v/>
      </c>
      <c r="E21" s="51">
        <f>SUM(E9:E20)</f>
        <v/>
      </c>
      <c r="F21" s="51">
        <f>SUM(F9:F20)</f>
        <v/>
      </c>
      <c r="G21" s="51">
        <f>SUM(G9:G20)</f>
        <v/>
      </c>
      <c r="H21" s="51">
        <f>SUM(H9:H20)</f>
        <v/>
      </c>
      <c r="I21" s="51">
        <f>SUM(I9:I20)</f>
        <v/>
      </c>
      <c r="J21" s="51">
        <f>SUM(J9:J20)</f>
        <v/>
      </c>
      <c r="K21" s="51">
        <f>SUM(K9:K20)</f>
        <v/>
      </c>
      <c r="L21" s="51">
        <f>SUM(L9:L20)</f>
        <v/>
      </c>
      <c r="M21" s="51">
        <f>SUM(M9:M20)</f>
        <v/>
      </c>
      <c r="N21" s="42">
        <f>SUM(B21:M21)</f>
        <v/>
      </c>
      <c r="O21" s="43">
        <f>N21/N$6</f>
        <v/>
      </c>
      <c r="P21" s="44">
        <f>IFERROR(B21/1051*100,0)</f>
        <v/>
      </c>
    </row>
    <row r="23" ht="15" customHeight="1" s="30">
      <c r="A23" s="52" t="inlineStr">
        <is>
          <t>매출총이익</t>
        </is>
      </c>
      <c r="B23" s="53">
        <f>B6-B21</f>
        <v/>
      </c>
      <c r="C23" s="53">
        <f>C6-C21</f>
        <v/>
      </c>
      <c r="D23" s="53">
        <f>D6-D21</f>
        <v/>
      </c>
      <c r="E23" s="53">
        <f>E6-E21</f>
        <v/>
      </c>
      <c r="F23" s="53">
        <f>F6-F21</f>
        <v/>
      </c>
      <c r="G23" s="53">
        <f>G6-G21</f>
        <v/>
      </c>
      <c r="H23" s="53">
        <f>H6-H21</f>
        <v/>
      </c>
      <c r="I23" s="53">
        <f>I6-I21</f>
        <v/>
      </c>
      <c r="J23" s="53">
        <f>J6-J21</f>
        <v/>
      </c>
      <c r="K23" s="53">
        <f>K6-K21</f>
        <v/>
      </c>
      <c r="L23" s="53">
        <f>L6-L21</f>
        <v/>
      </c>
      <c r="M23" s="53">
        <f>M6-M21</f>
        <v/>
      </c>
      <c r="N23" s="53">
        <f>N6-N21</f>
        <v/>
      </c>
      <c r="O23" s="54">
        <f>N23/N$6</f>
        <v/>
      </c>
      <c r="P23" s="48">
        <f>IFERROR(B23/30047.5*100,0)</f>
        <v/>
      </c>
    </row>
    <row r="25" ht="15" customHeight="1" s="30">
      <c r="A25" s="36" t="inlineStr">
        <is>
          <t>운영 비용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</row>
    <row r="26" ht="17.15" customHeight="1" s="30">
      <c r="A26" s="39" t="inlineStr">
        <is>
          <t>급여 비용 (관리)</t>
        </is>
      </c>
      <c r="B26" s="45" t="n">
        <v>57800</v>
      </c>
      <c r="C26" s="41" t="n">
        <v>0</v>
      </c>
      <c r="D26" s="41" t="n">
        <v>0</v>
      </c>
      <c r="E26" s="41" t="n">
        <v>0</v>
      </c>
      <c r="F26" s="41" t="n">
        <v>0</v>
      </c>
      <c r="G26" s="41" t="n">
        <v>0</v>
      </c>
      <c r="H26" s="41" t="n">
        <v>0</v>
      </c>
      <c r="I26" s="41" t="n">
        <v>0</v>
      </c>
      <c r="J26" s="41" t="n">
        <v>0</v>
      </c>
      <c r="K26" s="41" t="n">
        <v>0</v>
      </c>
      <c r="L26" s="41" t="n">
        <v>0</v>
      </c>
      <c r="M26" s="41" t="n">
        <v>0</v>
      </c>
      <c r="N26" s="46">
        <f>SUM(B26:M26)</f>
        <v/>
      </c>
      <c r="O26" s="47">
        <f>N26/N$6</f>
        <v/>
      </c>
      <c r="P26" s="48">
        <f>IFERROR(B26/51335.5*100,0)</f>
        <v/>
      </c>
    </row>
    <row r="27" ht="15" customHeight="1" s="30">
      <c r="A27" s="39" t="inlineStr">
        <is>
          <t>급여세</t>
        </is>
      </c>
      <c r="B27" s="45" t="n">
        <v>6269</v>
      </c>
      <c r="C27" s="41" t="n">
        <v>0</v>
      </c>
      <c r="D27" s="41" t="n">
        <v>0</v>
      </c>
      <c r="E27" s="41" t="n">
        <v>0</v>
      </c>
      <c r="F27" s="41" t="n">
        <v>0</v>
      </c>
      <c r="G27" s="41" t="n">
        <v>0</v>
      </c>
      <c r="H27" s="41" t="n">
        <v>0</v>
      </c>
      <c r="I27" s="41" t="n">
        <v>0</v>
      </c>
      <c r="J27" s="41" t="n">
        <v>0</v>
      </c>
      <c r="K27" s="41" t="n">
        <v>0</v>
      </c>
      <c r="L27" s="41" t="n">
        <v>0</v>
      </c>
      <c r="M27" s="41" t="n">
        <v>0</v>
      </c>
      <c r="N27" s="46">
        <f>SUM(B27:M27)</f>
        <v/>
      </c>
      <c r="O27" s="47">
        <f>N27/N$6</f>
        <v/>
      </c>
      <c r="P27" s="48">
        <f>IFERROR(B27/13671.5*100,0)</f>
        <v/>
      </c>
    </row>
    <row r="28" ht="15" customHeight="1" s="30">
      <c r="A28" s="39" t="inlineStr">
        <is>
          <t>직원 복리후생</t>
        </is>
      </c>
      <c r="B28" s="45" t="n">
        <v>2863</v>
      </c>
      <c r="C28" s="41" t="n">
        <v>0</v>
      </c>
      <c r="D28" s="41" t="n">
        <v>0</v>
      </c>
      <c r="E28" s="41" t="n">
        <v>0</v>
      </c>
      <c r="F28" s="41" t="n">
        <v>0</v>
      </c>
      <c r="G28" s="41" t="n">
        <v>0</v>
      </c>
      <c r="H28" s="41" t="n">
        <v>0</v>
      </c>
      <c r="I28" s="41" t="n">
        <v>0</v>
      </c>
      <c r="J28" s="41" t="n">
        <v>0</v>
      </c>
      <c r="K28" s="41" t="n">
        <v>0</v>
      </c>
      <c r="L28" s="41" t="n">
        <v>0</v>
      </c>
      <c r="M28" s="41" t="n">
        <v>0</v>
      </c>
      <c r="N28" s="46">
        <f>SUM(B28:M28)</f>
        <v/>
      </c>
      <c r="O28" s="47">
        <f>N28/N$6</f>
        <v/>
      </c>
      <c r="P28" s="48">
        <f>IFERROR(B28/358077.5*100,0)</f>
        <v/>
      </c>
    </row>
    <row r="29" ht="15" customHeight="1" s="30">
      <c r="A29" s="39" t="inlineStr">
        <is>
          <t>임대료</t>
        </is>
      </c>
      <c r="B29" s="45" t="n">
        <v>87672</v>
      </c>
      <c r="C29" s="41" t="n">
        <v>0</v>
      </c>
      <c r="D29" s="41" t="n">
        <v>0</v>
      </c>
      <c r="E29" s="41" t="n">
        <v>0</v>
      </c>
      <c r="F29" s="41" t="n">
        <v>0</v>
      </c>
      <c r="G29" s="41" t="n">
        <v>0</v>
      </c>
      <c r="H29" s="41" t="n">
        <v>0</v>
      </c>
      <c r="I29" s="41" t="n">
        <v>0</v>
      </c>
      <c r="J29" s="41" t="n">
        <v>0</v>
      </c>
      <c r="K29" s="41" t="n">
        <v>0</v>
      </c>
      <c r="L29" s="41" t="n">
        <v>0</v>
      </c>
      <c r="M29" s="41" t="n">
        <v>0</v>
      </c>
      <c r="N29" s="46">
        <f>SUM(B29:M29)</f>
        <v/>
      </c>
      <c r="O29" s="47">
        <f>N29/N$6</f>
        <v/>
      </c>
      <c r="P29" s="48">
        <f>IFERROR(B29/360528.5*100,0)</f>
        <v/>
      </c>
    </row>
    <row r="30" ht="15" customHeight="1" s="30">
      <c r="A30" s="39" t="inlineStr">
        <is>
          <t>임대 관리 수수료</t>
        </is>
      </c>
      <c r="B30" s="45" t="n">
        <v>16764</v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41" t="n">
        <v>0</v>
      </c>
      <c r="J30" s="41" t="n">
        <v>0</v>
      </c>
      <c r="K30" s="41" t="n">
        <v>0</v>
      </c>
      <c r="L30" s="41" t="n">
        <v>0</v>
      </c>
      <c r="M30" s="41" t="n">
        <v>0</v>
      </c>
      <c r="N30" s="46">
        <f>SUM(B30:M30)</f>
        <v/>
      </c>
      <c r="O30" s="47">
        <f>N30/N$6</f>
        <v/>
      </c>
      <c r="P30" s="48">
        <f>IFERROR(B30/1*100,0)</f>
        <v/>
      </c>
    </row>
    <row r="31" ht="17.15" customHeight="1" s="30">
      <c r="A31" s="39" t="inlineStr">
        <is>
          <t>전문가 수수료 - 법률</t>
        </is>
      </c>
      <c r="B31" s="45" t="n">
        <v>2059</v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0</v>
      </c>
      <c r="I31" s="41" t="n">
        <v>0</v>
      </c>
      <c r="J31" s="41" t="n">
        <v>0</v>
      </c>
      <c r="K31" s="41" t="n">
        <v>0</v>
      </c>
      <c r="L31" s="41" t="n">
        <v>0</v>
      </c>
      <c r="M31" s="41" t="n">
        <v>0</v>
      </c>
      <c r="N31" s="46">
        <f>SUM(B31:M31)</f>
        <v/>
      </c>
      <c r="O31" s="47">
        <f>N31/N$6</f>
        <v/>
      </c>
      <c r="P31" s="48">
        <f>IFERROR(B31/1*100,0)</f>
        <v/>
      </c>
    </row>
    <row r="32" ht="17.15" customHeight="1" s="30">
      <c r="A32" s="39" t="inlineStr">
        <is>
          <t>전문가 수수료 - 기타</t>
        </is>
      </c>
      <c r="B32" s="45" t="n">
        <v>547</v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0</v>
      </c>
      <c r="I32" s="41" t="n">
        <v>0</v>
      </c>
      <c r="J32" s="41" t="n">
        <v>0</v>
      </c>
      <c r="K32" s="41" t="n">
        <v>0</v>
      </c>
      <c r="L32" s="41" t="n">
        <v>0</v>
      </c>
      <c r="M32" s="41" t="n">
        <v>0</v>
      </c>
      <c r="N32" s="46">
        <f>SUM(B32:M32)</f>
        <v/>
      </c>
      <c r="O32" s="47">
        <f>N32/N$6</f>
        <v/>
      </c>
      <c r="P32" s="48">
        <f>IFERROR(B32/1*100,0)</f>
        <v/>
      </c>
    </row>
    <row r="33" ht="15" customHeight="1" s="30">
      <c r="A33" s="39" t="inlineStr">
        <is>
          <t>판매 수수료</t>
        </is>
      </c>
      <c r="B33" s="45" t="n">
        <v>3000</v>
      </c>
      <c r="C33" s="41" t="n">
        <v>0</v>
      </c>
      <c r="D33" s="41" t="n">
        <v>0</v>
      </c>
      <c r="E33" s="41" t="n">
        <v>0</v>
      </c>
      <c r="F33" s="41" t="n">
        <v>0</v>
      </c>
      <c r="G33" s="41" t="n">
        <v>0</v>
      </c>
      <c r="H33" s="41" t="n">
        <v>0</v>
      </c>
      <c r="I33" s="41" t="n">
        <v>0</v>
      </c>
      <c r="J33" s="41" t="n">
        <v>0</v>
      </c>
      <c r="K33" s="41" t="n">
        <v>0</v>
      </c>
      <c r="L33" s="41" t="n">
        <v>0</v>
      </c>
      <c r="M33" s="41" t="n">
        <v>0</v>
      </c>
      <c r="N33" s="46">
        <f>SUM(B33:M33)</f>
        <v/>
      </c>
      <c r="O33" s="47">
        <f>N33/N$6</f>
        <v/>
      </c>
      <c r="P33" s="48">
        <f>IFERROR(B33/48990*100,0)</f>
        <v/>
      </c>
    </row>
    <row r="34" ht="15" customHeight="1" s="30">
      <c r="A34" s="39" t="inlineStr">
        <is>
          <t>판매 촉진</t>
        </is>
      </c>
      <c r="B34" s="45" t="n">
        <v>1069</v>
      </c>
      <c r="C34" s="41" t="n">
        <v>0</v>
      </c>
      <c r="D34" s="41" t="n">
        <v>0</v>
      </c>
      <c r="E34" s="41" t="n">
        <v>0</v>
      </c>
      <c r="F34" s="41" t="n">
        <v>0</v>
      </c>
      <c r="G34" s="41" t="n">
        <v>0</v>
      </c>
      <c r="H34" s="41" t="n">
        <v>0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0</v>
      </c>
      <c r="N34" s="46">
        <f>SUM(B34:M34)</f>
        <v/>
      </c>
      <c r="O34" s="47">
        <f>N34/N$6</f>
        <v/>
      </c>
      <c r="P34" s="48">
        <f>IFERROR(B34/945*100,0)</f>
        <v/>
      </c>
    </row>
    <row r="35" ht="15" customHeight="1" s="30">
      <c r="A35" s="39" t="inlineStr">
        <is>
          <t>사무실 비용</t>
        </is>
      </c>
      <c r="B35" s="45" t="n">
        <v>1402</v>
      </c>
      <c r="C35" s="41" t="n">
        <v>0</v>
      </c>
      <c r="D35" s="41" t="n">
        <v>0</v>
      </c>
      <c r="E35" s="41" t="n">
        <v>0</v>
      </c>
      <c r="F35" s="41" t="n">
        <v>0</v>
      </c>
      <c r="G35" s="41" t="n">
        <v>0</v>
      </c>
      <c r="H35" s="41" t="n">
        <v>0</v>
      </c>
      <c r="I35" s="41" t="n">
        <v>0</v>
      </c>
      <c r="J35" s="41" t="n">
        <v>0</v>
      </c>
      <c r="K35" s="41" t="n">
        <v>0</v>
      </c>
      <c r="L35" s="41" t="n">
        <v>0</v>
      </c>
      <c r="M35" s="41" t="n">
        <v>0</v>
      </c>
      <c r="N35" s="46">
        <f>SUM(B35:M35)</f>
        <v/>
      </c>
      <c r="O35" s="47">
        <f>N35/N$6</f>
        <v/>
      </c>
      <c r="P35" s="48">
        <f>IFERROR(B35/617.5*100,0)</f>
        <v/>
      </c>
    </row>
    <row r="36" ht="15" customHeight="1" s="30">
      <c r="A36" s="39" t="inlineStr">
        <is>
          <t>사무용품 및 인쇄</t>
        </is>
      </c>
      <c r="B36" s="45" t="n">
        <v>652</v>
      </c>
      <c r="C36" s="41" t="n">
        <v>0</v>
      </c>
      <c r="D36" s="41" t="n">
        <v>0</v>
      </c>
      <c r="E36" s="41" t="n">
        <v>0</v>
      </c>
      <c r="F36" s="41" t="n">
        <v>0</v>
      </c>
      <c r="G36" s="41" t="n">
        <v>0</v>
      </c>
      <c r="H36" s="41" t="n">
        <v>0</v>
      </c>
      <c r="I36" s="41" t="n">
        <v>0</v>
      </c>
      <c r="J36" s="41" t="n">
        <v>0</v>
      </c>
      <c r="K36" s="41" t="n">
        <v>0</v>
      </c>
      <c r="L36" s="41" t="n">
        <v>0</v>
      </c>
      <c r="M36" s="41" t="n">
        <v>0</v>
      </c>
      <c r="N36" s="46">
        <f>SUM(B36:M36)</f>
        <v/>
      </c>
      <c r="O36" s="47">
        <f>N36/N$6</f>
        <v/>
      </c>
      <c r="P36" s="48">
        <f>IFERROR(B36/78828.5*100,0)</f>
        <v/>
      </c>
    </row>
    <row r="37" ht="15" customHeight="1" s="30">
      <c r="A37" s="39" t="inlineStr">
        <is>
          <t>컴퓨터 및 인터넷</t>
        </is>
      </c>
      <c r="B37" s="45" t="n">
        <v>1065</v>
      </c>
      <c r="C37" s="41" t="n">
        <v>0</v>
      </c>
      <c r="D37" s="41" t="n">
        <v>0</v>
      </c>
      <c r="E37" s="41" t="n">
        <v>0</v>
      </c>
      <c r="F37" s="41" t="n">
        <v>0</v>
      </c>
      <c r="G37" s="41" t="n">
        <v>0</v>
      </c>
      <c r="H37" s="41" t="n">
        <v>0</v>
      </c>
      <c r="I37" s="41" t="n">
        <v>0</v>
      </c>
      <c r="J37" s="41" t="n">
        <v>0</v>
      </c>
      <c r="K37" s="41" t="n">
        <v>0</v>
      </c>
      <c r="L37" s="41" t="n">
        <v>0</v>
      </c>
      <c r="M37" s="41" t="n">
        <v>0</v>
      </c>
      <c r="N37" s="46">
        <f>SUM(B37:M37)</f>
        <v/>
      </c>
      <c r="O37" s="47">
        <f>N37/N$6</f>
        <v/>
      </c>
      <c r="P37" s="48">
        <f>IFERROR(B37/1*100,0)</f>
        <v/>
      </c>
    </row>
    <row r="38" ht="15" customHeight="1" s="30">
      <c r="A38" s="39" t="inlineStr">
        <is>
          <t>전화 비용</t>
        </is>
      </c>
      <c r="B38" s="45" t="n">
        <v>843</v>
      </c>
      <c r="C38" s="41" t="n">
        <v>0</v>
      </c>
      <c r="D38" s="41" t="n">
        <v>0</v>
      </c>
      <c r="E38" s="41" t="n">
        <v>0</v>
      </c>
      <c r="F38" s="41" t="n">
        <v>0</v>
      </c>
      <c r="G38" s="41" t="n">
        <v>0</v>
      </c>
      <c r="H38" s="41" t="n">
        <v>0</v>
      </c>
      <c r="I38" s="41" t="n">
        <v>0</v>
      </c>
      <c r="J38" s="41" t="n">
        <v>0</v>
      </c>
      <c r="K38" s="41" t="n">
        <v>0</v>
      </c>
      <c r="L38" s="41" t="n">
        <v>0</v>
      </c>
      <c r="M38" s="41" t="n">
        <v>0</v>
      </c>
      <c r="N38" s="46">
        <f>SUM(B38:M38)</f>
        <v/>
      </c>
      <c r="O38" s="47">
        <f>N38/N$6</f>
        <v/>
      </c>
      <c r="P38" s="48">
        <f>IFERROR(B38/53.5*100,0)</f>
        <v/>
      </c>
    </row>
    <row r="39" ht="15" customHeight="1" s="30">
      <c r="A39" s="39" t="inlineStr">
        <is>
          <t>자동차 비용</t>
        </is>
      </c>
      <c r="B39" s="45" t="n">
        <v>1728</v>
      </c>
      <c r="C39" s="41" t="n">
        <v>0</v>
      </c>
      <c r="D39" s="41" t="n">
        <v>0</v>
      </c>
      <c r="E39" s="41" t="n">
        <v>0</v>
      </c>
      <c r="F39" s="41" t="n">
        <v>0</v>
      </c>
      <c r="G39" s="41" t="n">
        <v>0</v>
      </c>
      <c r="H39" s="41" t="n">
        <v>0</v>
      </c>
      <c r="I39" s="41" t="n">
        <v>0</v>
      </c>
      <c r="J39" s="41" t="n">
        <v>0</v>
      </c>
      <c r="K39" s="41" t="n">
        <v>0</v>
      </c>
      <c r="L39" s="41" t="n">
        <v>0</v>
      </c>
      <c r="M39" s="41" t="n">
        <v>0</v>
      </c>
      <c r="N39" s="46">
        <f>SUM(B39:M39)</f>
        <v/>
      </c>
      <c r="O39" s="47">
        <f>N39/N$6</f>
        <v/>
      </c>
      <c r="P39" s="48">
        <f>IFERROR(B39/49669*100,0)</f>
        <v/>
      </c>
    </row>
    <row r="40" ht="17.15" customHeight="1" s="30">
      <c r="A40" s="39" t="inlineStr">
        <is>
          <t>수리 - 컴퓨터</t>
        </is>
      </c>
      <c r="B40" s="45" t="n">
        <v>800</v>
      </c>
      <c r="C40" s="41" t="n">
        <v>0</v>
      </c>
      <c r="D40" s="41" t="n">
        <v>0</v>
      </c>
      <c r="E40" s="41" t="n">
        <v>0</v>
      </c>
      <c r="F40" s="41" t="n">
        <v>0</v>
      </c>
      <c r="G40" s="41" t="n">
        <v>0</v>
      </c>
      <c r="H40" s="41" t="n">
        <v>0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0</v>
      </c>
      <c r="N40" s="46">
        <f>SUM(B40:M40)</f>
        <v/>
      </c>
      <c r="O40" s="47">
        <f>N40/N$6</f>
        <v/>
      </c>
      <c r="P40" s="48">
        <f>IFERROR(B40/3500*100,0)</f>
        <v/>
      </c>
    </row>
    <row r="41" ht="17.15" customHeight="1" s="30">
      <c r="A41" s="39" t="inlineStr">
        <is>
          <t>수리 - 장비</t>
        </is>
      </c>
      <c r="B41" s="45" t="n">
        <v>38125</v>
      </c>
      <c r="C41" s="41" t="n">
        <v>0</v>
      </c>
      <c r="D41" s="41" t="n">
        <v>0</v>
      </c>
      <c r="E41" s="41" t="n">
        <v>0</v>
      </c>
      <c r="F41" s="41" t="n">
        <v>0</v>
      </c>
      <c r="G41" s="41" t="n">
        <v>0</v>
      </c>
      <c r="H41" s="41" t="n">
        <v>0</v>
      </c>
      <c r="I41" s="41" t="n">
        <v>0</v>
      </c>
      <c r="J41" s="41" t="n">
        <v>0</v>
      </c>
      <c r="K41" s="41" t="n">
        <v>0</v>
      </c>
      <c r="L41" s="41" t="n">
        <v>0</v>
      </c>
      <c r="M41" s="41" t="n">
        <v>0</v>
      </c>
      <c r="N41" s="46">
        <f>SUM(B41:M41)</f>
        <v/>
      </c>
      <c r="O41" s="47">
        <f>N41/N$6</f>
        <v/>
      </c>
      <c r="P41" s="48">
        <f>IFERROR(B41/933*100,0)</f>
        <v/>
      </c>
    </row>
    <row r="42" ht="17.15" customHeight="1" s="30">
      <c r="A42" s="39" t="inlineStr">
        <is>
          <t>보험 - 건강</t>
        </is>
      </c>
      <c r="B42" s="45" t="n">
        <v>3849</v>
      </c>
      <c r="C42" s="41" t="n">
        <v>0</v>
      </c>
      <c r="D42" s="41" t="n">
        <v>0</v>
      </c>
      <c r="E42" s="41" t="n">
        <v>0</v>
      </c>
      <c r="F42" s="41" t="n">
        <v>0</v>
      </c>
      <c r="G42" s="41" t="n">
        <v>0</v>
      </c>
      <c r="H42" s="41" t="n">
        <v>0</v>
      </c>
      <c r="I42" s="41" t="n">
        <v>0</v>
      </c>
      <c r="J42" s="41" t="n">
        <v>0</v>
      </c>
      <c r="K42" s="41" t="n">
        <v>0</v>
      </c>
      <c r="L42" s="41" t="n">
        <v>0</v>
      </c>
      <c r="M42" s="41" t="n">
        <v>0</v>
      </c>
      <c r="N42" s="46">
        <f>SUM(B42:M42)</f>
        <v/>
      </c>
      <c r="O42" s="47">
        <f>N42/N$6</f>
        <v/>
      </c>
      <c r="P42" s="48">
        <f>IFERROR(B42/6963.5*100,0)</f>
        <v/>
      </c>
    </row>
    <row r="43" ht="17.15" customHeight="1" s="30">
      <c r="A43" s="39" t="inlineStr">
        <is>
          <t>보험 - 트럭</t>
        </is>
      </c>
      <c r="B43" s="45" t="n">
        <v>1924</v>
      </c>
      <c r="C43" s="41" t="n">
        <v>0</v>
      </c>
      <c r="D43" s="41" t="n">
        <v>0</v>
      </c>
      <c r="E43" s="41" t="n">
        <v>0</v>
      </c>
      <c r="F43" s="41" t="n">
        <v>0</v>
      </c>
      <c r="G43" s="41" t="n">
        <v>0</v>
      </c>
      <c r="H43" s="41" t="n">
        <v>0</v>
      </c>
      <c r="I43" s="41" t="n">
        <v>0</v>
      </c>
      <c r="J43" s="41" t="n">
        <v>0</v>
      </c>
      <c r="K43" s="41" t="n">
        <v>0</v>
      </c>
      <c r="L43" s="41" t="n">
        <v>0</v>
      </c>
      <c r="M43" s="41" t="n">
        <v>0</v>
      </c>
      <c r="N43" s="46">
        <f>SUM(B43:M43)</f>
        <v/>
      </c>
      <c r="O43" s="47">
        <f>N43/N$6</f>
        <v/>
      </c>
      <c r="P43" s="48">
        <f>IFERROR(B43/895.5*100,0)</f>
        <v/>
      </c>
    </row>
    <row r="44" ht="17.15" customHeight="1" s="30">
      <c r="A44" s="39" t="inlineStr">
        <is>
          <t>라이센스 - 허가</t>
        </is>
      </c>
      <c r="B44" s="45" t="n">
        <v>600</v>
      </c>
      <c r="C44" s="41" t="n">
        <v>0</v>
      </c>
      <c r="D44" s="41" t="n">
        <v>0</v>
      </c>
      <c r="E44" s="41" t="n">
        <v>0</v>
      </c>
      <c r="F44" s="41" t="n">
        <v>0</v>
      </c>
      <c r="G44" s="41" t="n">
        <v>0</v>
      </c>
      <c r="H44" s="41" t="n">
        <v>0</v>
      </c>
      <c r="I44" s="41" t="n">
        <v>0</v>
      </c>
      <c r="J44" s="41" t="n">
        <v>0</v>
      </c>
      <c r="K44" s="41" t="n">
        <v>0</v>
      </c>
      <c r="L44" s="41" t="n">
        <v>0</v>
      </c>
      <c r="M44" s="41" t="n">
        <v>0</v>
      </c>
      <c r="N44" s="46">
        <f>SUM(B44:M44)</f>
        <v/>
      </c>
      <c r="O44" s="47">
        <f>N44/N$6</f>
        <v/>
      </c>
      <c r="P44" s="48">
        <f>IFERROR(B44/752*100,0)</f>
        <v/>
      </c>
    </row>
    <row r="45" ht="15" customHeight="1" s="30">
      <c r="A45" s="39" t="inlineStr">
        <is>
          <t>우편 요금</t>
        </is>
      </c>
      <c r="B45" s="45" t="n">
        <v>349</v>
      </c>
      <c r="C45" s="41" t="n">
        <v>0</v>
      </c>
      <c r="D45" s="41" t="n">
        <v>0</v>
      </c>
      <c r="E45" s="41" t="n">
        <v>0</v>
      </c>
      <c r="F45" s="41" t="n">
        <v>0</v>
      </c>
      <c r="G45" s="41" t="n">
        <v>0</v>
      </c>
      <c r="H45" s="41" t="n">
        <v>0</v>
      </c>
      <c r="I45" s="41" t="n">
        <v>0</v>
      </c>
      <c r="J45" s="41" t="n">
        <v>0</v>
      </c>
      <c r="K45" s="41" t="n">
        <v>0</v>
      </c>
      <c r="L45" s="41" t="n">
        <v>0</v>
      </c>
      <c r="M45" s="41" t="n">
        <v>0</v>
      </c>
      <c r="N45" s="46">
        <f>SUM(B45:M45)</f>
        <v/>
      </c>
      <c r="O45" s="47">
        <f>N45/N$6</f>
        <v/>
      </c>
      <c r="P45" s="48">
        <f>IFERROR(B45/459*100,0)</f>
        <v/>
      </c>
    </row>
    <row r="46" ht="15" customHeight="1" s="30">
      <c r="A46" s="39" t="inlineStr">
        <is>
          <t>장비 임대</t>
        </is>
      </c>
      <c r="B46" s="45" t="n">
        <v>108</v>
      </c>
      <c r="C46" s="41" t="n">
        <v>0</v>
      </c>
      <c r="D46" s="41" t="n">
        <v>0</v>
      </c>
      <c r="E46" s="41" t="n">
        <v>0</v>
      </c>
      <c r="F46" s="41" t="n">
        <v>0</v>
      </c>
      <c r="G46" s="41" t="n">
        <v>0</v>
      </c>
      <c r="H46" s="41" t="n">
        <v>0</v>
      </c>
      <c r="I46" s="41" t="n">
        <v>0</v>
      </c>
      <c r="J46" s="41" t="n">
        <v>0</v>
      </c>
      <c r="K46" s="41" t="n">
        <v>0</v>
      </c>
      <c r="L46" s="41" t="n">
        <v>0</v>
      </c>
      <c r="M46" s="41" t="n">
        <v>0</v>
      </c>
      <c r="N46" s="46">
        <f>SUM(B46:M46)</f>
        <v/>
      </c>
      <c r="O46" s="47">
        <f>N46/N$6</f>
        <v/>
      </c>
      <c r="P46" s="48">
        <f>IFERROR(B46/316.5*100,0)</f>
        <v/>
      </c>
    </row>
    <row r="47" ht="15" customHeight="1" s="30">
      <c r="A47" s="39" t="inlineStr">
        <is>
          <t>계약 노동</t>
        </is>
      </c>
      <c r="B47" s="45" t="n">
        <v>10000</v>
      </c>
      <c r="C47" s="41" t="n">
        <v>0</v>
      </c>
      <c r="D47" s="41" t="n">
        <v>0</v>
      </c>
      <c r="E47" s="41" t="n">
        <v>0</v>
      </c>
      <c r="F47" s="41" t="n">
        <v>0</v>
      </c>
      <c r="G47" s="41" t="n">
        <v>0</v>
      </c>
      <c r="H47" s="41" t="n">
        <v>0</v>
      </c>
      <c r="I47" s="41" t="n">
        <v>0</v>
      </c>
      <c r="J47" s="41" t="n">
        <v>0</v>
      </c>
      <c r="K47" s="41" t="n">
        <v>0</v>
      </c>
      <c r="L47" s="41" t="n">
        <v>0</v>
      </c>
      <c r="M47" s="41" t="n">
        <v>0</v>
      </c>
      <c r="N47" s="46">
        <f>SUM(B47:M47)</f>
        <v/>
      </c>
      <c r="O47" s="47">
        <f>N47/N$6</f>
        <v/>
      </c>
      <c r="P47" s="48">
        <f>IFERROR(B47/419.5*100,0)</f>
        <v/>
      </c>
    </row>
    <row r="48" ht="15" customHeight="1" s="30">
      <c r="A48" s="39" t="inlineStr">
        <is>
          <t>외부 서비스</t>
        </is>
      </c>
      <c r="B48" s="45" t="n">
        <v>2700</v>
      </c>
      <c r="C48" s="41" t="n">
        <v>0</v>
      </c>
      <c r="D48" s="41" t="n">
        <v>0</v>
      </c>
      <c r="E48" s="41" t="n">
        <v>0</v>
      </c>
      <c r="F48" s="41" t="n">
        <v>0</v>
      </c>
      <c r="G48" s="41" t="n">
        <v>0</v>
      </c>
      <c r="H48" s="41" t="n">
        <v>0</v>
      </c>
      <c r="I48" s="41" t="n">
        <v>0</v>
      </c>
      <c r="J48" s="41" t="n">
        <v>0</v>
      </c>
      <c r="K48" s="41" t="n">
        <v>0</v>
      </c>
      <c r="L48" s="41" t="n">
        <v>0</v>
      </c>
      <c r="M48" s="41" t="n">
        <v>0</v>
      </c>
      <c r="N48" s="46">
        <f>SUM(B48:M48)</f>
        <v/>
      </c>
      <c r="O48" s="47">
        <f>N48/N$6</f>
        <v/>
      </c>
      <c r="P48" s="48">
        <f>IFERROR(B48/9171*100,0)</f>
        <v/>
      </c>
    </row>
    <row r="49" ht="15" customHeight="1" s="30">
      <c r="A49" s="39" t="inlineStr">
        <is>
          <t>은행 수수료</t>
        </is>
      </c>
      <c r="B49" s="45" t="n"/>
      <c r="C49" s="41" t="n">
        <v>0</v>
      </c>
      <c r="D49" s="41" t="n">
        <v>0</v>
      </c>
      <c r="E49" s="41" t="n">
        <v>0</v>
      </c>
      <c r="F49" s="41" t="n">
        <v>0</v>
      </c>
      <c r="G49" s="41" t="n">
        <v>0</v>
      </c>
      <c r="H49" s="41" t="n">
        <v>0</v>
      </c>
      <c r="I49" s="41" t="n">
        <v>0</v>
      </c>
      <c r="J49" s="41" t="n">
        <v>0</v>
      </c>
      <c r="K49" s="41" t="n">
        <v>0</v>
      </c>
      <c r="L49" s="41" t="n">
        <v>0</v>
      </c>
      <c r="M49" s="41" t="n">
        <v>0</v>
      </c>
      <c r="N49" s="46">
        <f>SUM(B49:M49)</f>
        <v/>
      </c>
      <c r="O49" s="47">
        <f>N49/N$6</f>
        <v/>
      </c>
      <c r="P49" s="48">
        <f>IFERROR(B49/1*100,0)</f>
        <v/>
      </c>
    </row>
    <row r="50" ht="15" customHeight="1" s="30">
      <c r="A50" s="49" t="inlineStr">
        <is>
          <t>총 운영 비용</t>
        </is>
      </c>
      <c r="B50" s="50">
        <f>SUM(B26:B49)</f>
        <v/>
      </c>
      <c r="C50" s="51">
        <f>SUM(C26:C49)</f>
        <v/>
      </c>
      <c r="D50" s="51">
        <f>SUM(D26:D49)</f>
        <v/>
      </c>
      <c r="E50" s="51">
        <f>SUM(E26:E49)</f>
        <v/>
      </c>
      <c r="F50" s="51">
        <f>SUM(F26:F49)</f>
        <v/>
      </c>
      <c r="G50" s="51">
        <f>SUM(G26:G49)</f>
        <v/>
      </c>
      <c r="H50" s="51">
        <f>SUM(H26:H49)</f>
        <v/>
      </c>
      <c r="I50" s="51">
        <f>SUM(I26:I49)</f>
        <v/>
      </c>
      <c r="J50" s="51">
        <f>SUM(J26:J49)</f>
        <v/>
      </c>
      <c r="K50" s="51">
        <f>SUM(K26:K49)</f>
        <v/>
      </c>
      <c r="L50" s="51">
        <f>SUM(L26:L49)</f>
        <v/>
      </c>
      <c r="M50" s="51">
        <f>SUM(M26:M49)</f>
        <v/>
      </c>
      <c r="N50" s="42">
        <f>SUM(B50:M50)</f>
        <v/>
      </c>
      <c r="O50" s="43">
        <f>N50/N$6</f>
        <v/>
      </c>
      <c r="P50" s="44">
        <f>IFERROR(B50/500*100,0)</f>
        <v/>
      </c>
    </row>
    <row r="52" ht="17.15" customHeight="1" s="30">
      <c r="A52" s="55" t="inlineStr">
        <is>
          <t>순이익 (세전)</t>
        </is>
      </c>
      <c r="B52" s="56">
        <f>B23-B50</f>
        <v/>
      </c>
      <c r="C52" s="57">
        <f>C23-C50</f>
        <v/>
      </c>
      <c r="D52" s="57">
        <f>D23-D50</f>
        <v/>
      </c>
      <c r="E52" s="57">
        <f>E23-E50</f>
        <v/>
      </c>
      <c r="F52" s="57">
        <f>F23-F50</f>
        <v/>
      </c>
      <c r="G52" s="57">
        <f>G23-G50</f>
        <v/>
      </c>
      <c r="H52" s="57">
        <f>H23-H50</f>
        <v/>
      </c>
      <c r="I52" s="57">
        <f>I23-I50</f>
        <v/>
      </c>
      <c r="J52" s="57">
        <f>J23-J50</f>
        <v/>
      </c>
      <c r="K52" s="57">
        <f>K23-K50</f>
        <v/>
      </c>
      <c r="L52" s="57">
        <f>L23-L50</f>
        <v/>
      </c>
      <c r="M52" s="57">
        <f>M23-M50</f>
        <v/>
      </c>
      <c r="N52" s="58">
        <f>SUM(B52:M52)</f>
        <v/>
      </c>
      <c r="O52" s="59">
        <f>N52/N$6</f>
        <v/>
      </c>
      <c r="P52" s="48">
        <f>IFERROR(B52/1178*100,0)</f>
        <v/>
      </c>
    </row>
    <row r="53" ht="17.15" customHeight="1" s="30">
      <c r="A53" s="39" t="inlineStr">
        <is>
          <t>기타 수입 (환불)</t>
        </is>
      </c>
      <c r="B53" s="45" t="n"/>
      <c r="C53" s="41" t="n">
        <v>0</v>
      </c>
      <c r="D53" s="41" t="n">
        <v>0</v>
      </c>
      <c r="E53" s="41" t="n">
        <v>0</v>
      </c>
      <c r="F53" s="41" t="n">
        <v>0</v>
      </c>
      <c r="G53" s="41" t="n">
        <v>0</v>
      </c>
      <c r="H53" s="41" t="n">
        <v>0</v>
      </c>
      <c r="I53" s="41" t="n">
        <v>0</v>
      </c>
      <c r="J53" s="41" t="n">
        <v>0</v>
      </c>
      <c r="K53" s="41" t="n">
        <v>0</v>
      </c>
      <c r="L53" s="41" t="n">
        <v>0</v>
      </c>
      <c r="M53" s="41" t="n">
        <v>0</v>
      </c>
      <c r="N53" s="46">
        <f>SUM(B53:M53)</f>
        <v/>
      </c>
      <c r="O53" s="47">
        <f>N53/N$6</f>
        <v/>
      </c>
      <c r="P53" s="48">
        <f>IFERROR(B53/11660*100,0)</f>
        <v/>
      </c>
    </row>
    <row r="54" ht="17.15" customHeight="1" s="30">
      <c r="A54" s="55" t="inlineStr">
        <is>
          <t>순이익 (최종)</t>
        </is>
      </c>
      <c r="B54" s="58">
        <f>B52+B53</f>
        <v/>
      </c>
      <c r="C54" s="58">
        <f>C52+C53</f>
        <v/>
      </c>
      <c r="D54" s="58">
        <f>D52+D53</f>
        <v/>
      </c>
      <c r="E54" s="58">
        <f>E52+E53</f>
        <v/>
      </c>
      <c r="F54" s="58">
        <f>F52+F53</f>
        <v/>
      </c>
      <c r="G54" s="58">
        <f>G52+G53</f>
        <v/>
      </c>
      <c r="H54" s="58">
        <f>H52+H53</f>
        <v/>
      </c>
      <c r="I54" s="58">
        <f>I52+I53</f>
        <v/>
      </c>
      <c r="J54" s="58">
        <f>J52+J53</f>
        <v/>
      </c>
      <c r="K54" s="58">
        <f>K52+K53</f>
        <v/>
      </c>
      <c r="L54" s="58">
        <f>L52+L53</f>
        <v/>
      </c>
      <c r="M54" s="58">
        <f>M52+M53</f>
        <v/>
      </c>
      <c r="N54" s="58">
        <f>N52+N53</f>
        <v/>
      </c>
      <c r="O54" s="59">
        <f>N54/N$6</f>
        <v/>
      </c>
      <c r="P54" s="48">
        <f>IFERROR(B54/4911.5*100,0)</f>
        <v/>
      </c>
    </row>
    <row r="57" ht="19.4" customHeight="1" s="30">
      <c r="A57" s="60" t="inlineStr">
        <is>
          <t>2026년 연초 누계 재무 분석 (1월만)</t>
        </is>
      </c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</row>
    <row r="59" ht="15" customHeight="1" s="30">
      <c r="A59" s="62" t="inlineStr">
        <is>
          <t>월별 마진 성과</t>
        </is>
      </c>
      <c r="B59" s="61" t="n"/>
      <c r="C59" s="61" t="n"/>
      <c r="D59" s="63" t="n"/>
      <c r="E59" s="63" t="n"/>
      <c r="F59" s="63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</row>
    <row r="60" ht="15" customHeight="1" s="30">
      <c r="A60" s="64" t="inlineStr">
        <is>
          <t>매출총이익률 %</t>
        </is>
      </c>
      <c r="B60" s="47">
        <f>IFERROR(B23/B6,0)</f>
        <v/>
      </c>
      <c r="C60" s="47">
        <f>IFERROR(C23/C6,0)</f>
        <v/>
      </c>
      <c r="D60" s="47">
        <f>IFERROR(D23/D6,0)</f>
        <v/>
      </c>
      <c r="E60" s="47">
        <f>IFERROR(E23/E6,0)</f>
        <v/>
      </c>
      <c r="F60" s="47">
        <f>IFERROR(F23/F6,0)</f>
        <v/>
      </c>
      <c r="G60" s="47">
        <f>IFERROR(G23/G6,0)</f>
        <v/>
      </c>
      <c r="H60" s="47">
        <f>IFERROR(H23/H6,0)</f>
        <v/>
      </c>
      <c r="I60" s="47">
        <f>IFERROR(I23/I6,0)</f>
        <v/>
      </c>
      <c r="J60" s="47">
        <f>IFERROR(J23/J6,0)</f>
        <v/>
      </c>
      <c r="K60" s="47">
        <f>IFERROR(K23/K6,0)</f>
        <v/>
      </c>
      <c r="L60" s="47">
        <f>IFERROR(L23/L6,0)</f>
        <v/>
      </c>
      <c r="M60" s="47">
        <f>IFERROR(M23/M6,0)</f>
        <v/>
      </c>
      <c r="N60" s="43">
        <f>IFERROR(N23/N6,0)</f>
        <v/>
      </c>
      <c r="O60" s="39" t="inlineStr">
        <is>
          <t>누계 평균</t>
        </is>
      </c>
      <c r="P60" s="48">
        <f>IFERROR(B60/1*100,0)</f>
        <v/>
      </c>
    </row>
    <row r="61" ht="15" customHeight="1" s="30">
      <c r="A61" s="64" t="inlineStr">
        <is>
          <t>순이익률 % (운영)</t>
        </is>
      </c>
      <c r="B61" s="47">
        <f>IFERROR(B52/B6,0)</f>
        <v/>
      </c>
      <c r="C61" s="47">
        <f>IFERROR(C52/C6,0)</f>
        <v/>
      </c>
      <c r="D61" s="47">
        <f>IFERROR(D52/D6,0)</f>
        <v/>
      </c>
      <c r="E61" s="47">
        <f>IFERROR(E52/E6,0)</f>
        <v/>
      </c>
      <c r="F61" s="47">
        <f>IFERROR(F52/F6,0)</f>
        <v/>
      </c>
      <c r="G61" s="47">
        <f>IFERROR(G52/G6,0)</f>
        <v/>
      </c>
      <c r="H61" s="47">
        <f>IFERROR(H52/H6,0)</f>
        <v/>
      </c>
      <c r="I61" s="47">
        <f>IFERROR(I52/I6,0)</f>
        <v/>
      </c>
      <c r="J61" s="47">
        <f>IFERROR(J52/J6,0)</f>
        <v/>
      </c>
      <c r="K61" s="47">
        <f>IFERROR(K52/K6,0)</f>
        <v/>
      </c>
      <c r="L61" s="47">
        <f>IFERROR(L52/L6,0)</f>
        <v/>
      </c>
      <c r="M61" s="47">
        <f>IFERROR(M52/M6,0)</f>
        <v/>
      </c>
      <c r="N61" s="43">
        <f>IFERROR(N52/N6,0)</f>
        <v/>
      </c>
      <c r="O61" s="39" t="inlineStr">
        <is>
          <t>누계 평균</t>
        </is>
      </c>
      <c r="P61" s="48">
        <f>IFERROR(B61/1*100,0)</f>
        <v/>
      </c>
    </row>
    <row r="62" ht="15" customHeight="1" s="30">
      <c r="A62" s="64" t="inlineStr">
        <is>
          <t>순이익률 % (최종)</t>
        </is>
      </c>
      <c r="B62" s="47">
        <f>IFERROR(B54/B6,0)</f>
        <v/>
      </c>
      <c r="C62" s="47">
        <f>IFERROR(C54/C6,0)</f>
        <v/>
      </c>
      <c r="D62" s="47">
        <f>IFERROR(D54/D6,0)</f>
        <v/>
      </c>
      <c r="E62" s="47">
        <f>IFERROR(E54/E6,0)</f>
        <v/>
      </c>
      <c r="F62" s="47">
        <f>IFERROR(F54/F6,0)</f>
        <v/>
      </c>
      <c r="G62" s="47">
        <f>IFERROR(G54/G6,0)</f>
        <v/>
      </c>
      <c r="H62" s="47">
        <f>IFERROR(H54/H6,0)</f>
        <v/>
      </c>
      <c r="I62" s="47">
        <f>IFERROR(I54/I6,0)</f>
        <v/>
      </c>
      <c r="J62" s="47">
        <f>IFERROR(J54/J6,0)</f>
        <v/>
      </c>
      <c r="K62" s="47">
        <f>IFERROR(K54/K6,0)</f>
        <v/>
      </c>
      <c r="L62" s="47">
        <f>IFERROR(L54/L6,0)</f>
        <v/>
      </c>
      <c r="M62" s="47">
        <f>IFERROR(M54/M6,0)</f>
        <v/>
      </c>
      <c r="N62" s="43">
        <f>IFERROR(N54/N6,0)</f>
        <v/>
      </c>
      <c r="O62" s="39" t="inlineStr">
        <is>
          <t>누계 평균</t>
        </is>
      </c>
      <c r="P62" s="48">
        <f>IFERROR(B62/868.5*100,0)</f>
        <v/>
      </c>
    </row>
    <row r="64" ht="15" customHeight="1" s="30">
      <c r="A64" s="62" t="inlineStr">
        <is>
          <t>비용 카테고리 분석</t>
        </is>
      </c>
      <c r="B64" s="61" t="n"/>
      <c r="C64" s="61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</row>
    <row r="65" ht="17.15" customHeight="1" s="30">
      <c r="A65" s="39" t="inlineStr">
        <is>
          <t>총 급여 % (COGS + 운영비)</t>
        </is>
      </c>
      <c r="N65" s="65">
        <f>(N9+N10+N11+N26+N27)/N6</f>
        <v/>
      </c>
      <c r="O65" s="39" t="inlineStr">
        <is>
          <t>수익 대비</t>
        </is>
      </c>
    </row>
    <row r="66" ht="17.15" customHeight="1" s="30">
      <c r="A66" s="39" t="inlineStr">
        <is>
          <t>자재 및 화학물질 %</t>
        </is>
      </c>
      <c r="N66" s="65">
        <f>(N12+N13+N14+N15)/N6</f>
        <v/>
      </c>
      <c r="O66" s="39" t="inlineStr">
        <is>
          <t>수익 대비</t>
        </is>
      </c>
    </row>
    <row r="67" ht="17.15" customHeight="1" s="30">
      <c r="A67" s="39" t="inlineStr">
        <is>
          <t>총 공공요금 %</t>
        </is>
      </c>
      <c r="N67" s="65">
        <f>(N19+N20)/N6</f>
        <v/>
      </c>
      <c r="O67" s="39" t="inlineStr">
        <is>
          <t>수익 대비</t>
        </is>
      </c>
    </row>
  </sheetData>
  <mergeCells count="5">
    <mergeCell ref="A57:O57"/>
    <mergeCell ref="A2:O2"/>
    <mergeCell ref="A1:O1"/>
    <mergeCell ref="A59:C59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2026-02-09T22:36:40Z</dcterms:created>
  <dcterms:modified xsi:type="dcterms:W3CDTF">2026-04-09T00:31:49Z</dcterms:modified>
  <cp:revision>0</cp:revision>
</cp:coreProperties>
</file>