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6 월별 예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<sst xmlns="http://schemas.openxmlformats.org/spreadsheetml/2006/main" count="80" uniqueCount="76">
  <si>
    <r>
      <rPr>
        <b val="true"/>
        <sz val="14"/>
        <rFont val="Noto Sans CJK SC"/>
        <family val="2"/>
      </rPr>
      <t xml:space="preserve">컬러패션 염색 및 마감 </t>
    </r>
    <r>
      <rPr>
        <b val="true"/>
        <sz val="14"/>
        <rFont val="Cambria"/>
        <family val="0"/>
        <charset val="1"/>
      </rPr>
      <t xml:space="preserve">- 2026</t>
    </r>
    <r>
      <rPr>
        <b val="true"/>
        <sz val="14"/>
        <rFont val="Noto Sans CJK SC"/>
        <family val="2"/>
      </rPr>
      <t xml:space="preserve">년 연초 누계 </t>
    </r>
    <r>
      <rPr>
        <b val="true"/>
        <sz val="14"/>
        <rFont val="Cambria"/>
        <family val="0"/>
        <charset val="1"/>
      </rPr>
      <t xml:space="preserve">(1</t>
    </r>
    <r>
      <rPr>
        <b val="true"/>
        <sz val="14"/>
        <rFont val="Noto Sans CJK SC"/>
        <family val="2"/>
      </rPr>
      <t xml:space="preserve">월만</t>
    </r>
    <r>
      <rPr>
        <b val="true"/>
        <sz val="14"/>
        <rFont val="Cambria"/>
        <family val="0"/>
        <charset val="1"/>
      </rPr>
      <t xml:space="preserve">)</t>
    </r>
  </si>
  <si>
    <r>
      <rPr>
        <i val="true"/>
        <sz val="10"/>
        <rFont val="Noto Sans CJK SC"/>
        <family val="2"/>
      </rPr>
      <t xml:space="preserve">백분율 배분이 포함된 월별 손익 분석 </t>
    </r>
    <r>
      <rPr>
        <i val="true"/>
        <sz val="10"/>
        <rFont val="Cambria"/>
        <family val="0"/>
        <charset val="1"/>
      </rPr>
      <t xml:space="preserve">(1</t>
    </r>
    <r>
      <rPr>
        <i val="true"/>
        <sz val="10"/>
        <rFont val="Noto Sans CJK SC"/>
        <family val="2"/>
      </rPr>
      <t xml:space="preserve">월만</t>
    </r>
    <r>
      <rPr>
        <i val="true"/>
        <sz val="10"/>
        <rFont val="Cambria"/>
        <family val="0"/>
        <charset val="1"/>
      </rPr>
      <t xml:space="preserve">)</t>
    </r>
  </si>
  <si>
    <t xml:space="preserve">카테고리</t>
  </si>
  <si>
    <r>
      <rPr>
        <b val="true"/>
        <sz val="11"/>
        <color rgb="FFFFFFFF"/>
        <rFont val="Cambria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</si>
  <si>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</si>
  <si>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</si>
  <si>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</si>
  <si>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</si>
  <si>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</si>
  <si>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</si>
  <si>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</si>
  <si>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</si>
  <si>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10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</si>
  <si>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</si>
  <si>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월</t>
    </r>
  </si>
  <si>
    <t xml:space="preserve">합계</t>
  </si>
  <si>
    <r>
      <rPr>
        <b val="true"/>
        <sz val="11"/>
        <color rgb="FFFFFFFF"/>
        <rFont val="Noto Sans CJK SC"/>
        <family val="2"/>
      </rPr>
      <t xml:space="preserve">수익 대비 </t>
    </r>
    <r>
      <rPr>
        <b val="true"/>
        <sz val="11"/>
        <color rgb="FFFFFFFF"/>
        <rFont val="Cambria"/>
        <family val="0"/>
        <charset val="1"/>
      </rPr>
      <t xml:space="preserve">%</t>
    </r>
  </si>
  <si>
    <r>
      <rPr>
        <b val="true"/>
        <sz val="11"/>
        <color rgb="FFFFFFFF"/>
        <rFont val="Noto Sans CJK SC"/>
        <family val="2"/>
      </rPr>
      <t xml:space="preserve">역사적 </t>
    </r>
    <r>
      <rPr>
        <b val="true"/>
        <sz val="11"/>
        <color rgb="FFFFFFFF"/>
        <rFont val="Cambria"/>
        <family val="0"/>
        <charset val="1"/>
      </rPr>
      <t xml:space="preserve">%</t>
    </r>
  </si>
  <si>
    <t xml:space="preserve">수익</t>
  </si>
  <si>
    <r>
      <rPr>
        <i val="true"/>
        <sz val="9"/>
        <color rgb="FF666666"/>
        <rFont val="Cambria"/>
        <family val="0"/>
        <charset val="1"/>
      </rPr>
      <t xml:space="preserve">1</t>
    </r>
    <r>
      <rPr>
        <i val="true"/>
        <sz val="9"/>
        <color rgb="FF666666"/>
        <rFont val="Noto Sans CJK SC"/>
        <family val="2"/>
      </rPr>
      <t xml:space="preserve">월 </t>
    </r>
    <r>
      <rPr>
        <i val="true"/>
        <sz val="9"/>
        <color rgb="FF666666"/>
        <rFont val="Cambria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평균</t>
    </r>
  </si>
  <si>
    <r>
      <rPr>
        <sz val="11"/>
        <color theme="1"/>
        <rFont val="Noto Sans CJK SC"/>
        <family val="2"/>
      </rPr>
      <t xml:space="preserve">총 수익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</si>
  <si>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매출원가 </t>
    </r>
    <r>
      <rPr>
        <b val="true"/>
        <sz val="10"/>
        <color rgb="FFFFFFFF"/>
        <rFont val="Cambria"/>
        <family val="0"/>
        <charset val="1"/>
      </rPr>
      <t xml:space="preserve">(COGS)</t>
    </r>
  </si>
  <si>
    <r>
      <rPr>
        <sz val="11"/>
        <color theme="1"/>
        <rFont val="Noto Sans CJK SC"/>
        <family val="2"/>
      </rPr>
      <t xml:space="preserve">직접 노동 </t>
    </r>
    <r>
      <rPr>
        <sz val="11"/>
        <color theme="1"/>
        <rFont val="Calibri"/>
        <family val="2"/>
        <charset val="1"/>
      </rPr>
      <t xml:space="preserve">- Samuel Hale</t>
    </r>
  </si>
  <si>
    <r>
      <rPr>
        <sz val="11"/>
        <color theme="1"/>
        <rFont val="Noto Sans CJK SC"/>
        <family val="2"/>
      </rPr>
      <t xml:space="preserve">직접 노동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인력</t>
    </r>
  </si>
  <si>
    <r>
      <rPr>
        <sz val="11"/>
        <color theme="1"/>
        <rFont val="Noto Sans CJK SC"/>
        <family val="2"/>
      </rPr>
      <t xml:space="preserve">급여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기타</t>
    </r>
  </si>
  <si>
    <t xml:space="preserve">화학 물질 및 염료</t>
  </si>
  <si>
    <r>
      <rPr>
        <sz val="11"/>
        <color theme="1"/>
        <rFont val="Noto Sans CJK SC"/>
        <family val="2"/>
      </rPr>
      <t xml:space="preserve">마감 용품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종이 튜브</t>
    </r>
  </si>
  <si>
    <r>
      <rPr>
        <sz val="11"/>
        <color theme="1"/>
        <rFont val="Noto Sans CJK SC"/>
        <family val="2"/>
      </rPr>
      <t xml:space="preserve">실험실 용품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테스트</t>
    </r>
    <r>
      <rPr>
        <sz val="11"/>
        <color theme="1"/>
        <rFont val="Calibri"/>
        <family val="2"/>
        <charset val="1"/>
      </rPr>
      <t xml:space="preserve">)</t>
    </r>
  </si>
  <si>
    <t xml:space="preserve">공장 용품 및 부품</t>
  </si>
  <si>
    <t xml:space="preserve">운송 및 배송 비용</t>
  </si>
  <si>
    <t xml:space="preserve">트럭 수리</t>
  </si>
  <si>
    <r>
      <rPr>
        <sz val="11"/>
        <color theme="1"/>
        <rFont val="Noto Sans CJK SC"/>
        <family val="2"/>
      </rPr>
      <t xml:space="preserve">보험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책임 및 재산</t>
    </r>
  </si>
  <si>
    <r>
      <rPr>
        <sz val="11"/>
        <color theme="1"/>
        <rFont val="Noto Sans CJK SC"/>
        <family val="2"/>
      </rPr>
      <t xml:space="preserve">공공요금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가스</t>
    </r>
  </si>
  <si>
    <r>
      <rPr>
        <sz val="11"/>
        <color theme="1"/>
        <rFont val="Noto Sans CJK SC"/>
        <family val="2"/>
      </rPr>
      <t xml:space="preserve">공공요금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수도</t>
    </r>
  </si>
  <si>
    <t xml:space="preserve">총 매출원가</t>
  </si>
  <si>
    <t xml:space="preserve">매출총이익</t>
  </si>
  <si>
    <t xml:space="preserve">운영 비용</t>
  </si>
  <si>
    <r>
      <rPr>
        <sz val="11"/>
        <color theme="1"/>
        <rFont val="Noto Sans CJK SC"/>
        <family val="2"/>
      </rPr>
      <t xml:space="preserve">급여 비용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관리</t>
    </r>
    <r>
      <rPr>
        <sz val="11"/>
        <color theme="1"/>
        <rFont val="Calibri"/>
        <family val="2"/>
        <charset val="1"/>
      </rPr>
      <t xml:space="preserve">)</t>
    </r>
  </si>
  <si>
    <t xml:space="preserve">급여세</t>
  </si>
  <si>
    <t xml:space="preserve">직원 복리후생</t>
  </si>
  <si>
    <t xml:space="preserve">임대료</t>
  </si>
  <si>
    <t xml:space="preserve">임대 관리 수수료</t>
  </si>
  <si>
    <r>
      <rPr>
        <sz val="11"/>
        <color theme="1"/>
        <rFont val="Noto Sans CJK SC"/>
        <family val="2"/>
      </rPr>
      <t xml:space="preserve">전문가 수수료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법률</t>
    </r>
  </si>
  <si>
    <r>
      <rPr>
        <sz val="11"/>
        <color theme="1"/>
        <rFont val="Noto Sans CJK SC"/>
        <family val="2"/>
      </rPr>
      <t xml:space="preserve">전문가 수수료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기타</t>
    </r>
  </si>
  <si>
    <t xml:space="preserve">판매 수수료</t>
  </si>
  <si>
    <t xml:space="preserve">판매 촉진</t>
  </si>
  <si>
    <t xml:space="preserve">사무실 비용</t>
  </si>
  <si>
    <t xml:space="preserve">사무용품 및 인쇄</t>
  </si>
  <si>
    <t xml:space="preserve">컴퓨터 및 인터넷</t>
  </si>
  <si>
    <t xml:space="preserve">전화 비용</t>
  </si>
  <si>
    <t xml:space="preserve">자동차 비용</t>
  </si>
  <si>
    <r>
      <rPr>
        <sz val="11"/>
        <color theme="1"/>
        <rFont val="Noto Sans CJK SC"/>
        <family val="2"/>
      </rPr>
      <t xml:space="preserve">수리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컴퓨터</t>
    </r>
  </si>
  <si>
    <r>
      <rPr>
        <sz val="11"/>
        <color theme="1"/>
        <rFont val="Noto Sans CJK SC"/>
        <family val="2"/>
      </rPr>
      <t xml:space="preserve">수리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장비</t>
    </r>
  </si>
  <si>
    <r>
      <rPr>
        <sz val="11"/>
        <color theme="1"/>
        <rFont val="Noto Sans CJK SC"/>
        <family val="2"/>
      </rPr>
      <t xml:space="preserve">보험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건강</t>
    </r>
  </si>
  <si>
    <r>
      <rPr>
        <sz val="11"/>
        <color theme="1"/>
        <rFont val="Noto Sans CJK SC"/>
        <family val="2"/>
      </rPr>
      <t xml:space="preserve">보험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트럭</t>
    </r>
  </si>
  <si>
    <r>
      <rPr>
        <sz val="11"/>
        <color theme="1"/>
        <rFont val="Noto Sans CJK SC"/>
        <family val="2"/>
      </rPr>
      <t xml:space="preserve">라이센스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허가</t>
    </r>
  </si>
  <si>
    <t xml:space="preserve">우편 요금</t>
  </si>
  <si>
    <t xml:space="preserve">장비 임대</t>
  </si>
  <si>
    <t xml:space="preserve">계약 노동</t>
  </si>
  <si>
    <t xml:space="preserve">외부 서비스</t>
  </si>
  <si>
    <t xml:space="preserve">은행 수수료</t>
  </si>
  <si>
    <t xml:space="preserve">총 운영 비용</t>
  </si>
  <si>
    <r>
      <rPr>
        <b val="true"/>
        <sz val="11"/>
        <color rgb="FFFFFFFF"/>
        <rFont val="Noto Sans CJK SC"/>
        <family val="2"/>
      </rPr>
      <t xml:space="preserve">순이익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세전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</si>
  <si>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기타 수입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환불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</si>
  <si>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순이익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최종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</si>
  <si>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2"/>
        <color rgb="FFFFFFFF"/>
        <rFont val="Cambria"/>
        <family val="0"/>
        <charset val="1"/>
      </rPr>
      <t xml:space="preserve">2026</t>
    </r>
    <r>
      <rPr>
        <b val="true"/>
        <sz val="12"/>
        <color rgb="FFFFFFFF"/>
        <rFont val="Noto Sans CJK SC"/>
        <family val="2"/>
      </rPr>
      <t xml:space="preserve">년 연초 누계 재무 분석 </t>
    </r>
    <r>
      <rPr>
        <b val="true"/>
        <sz val="12"/>
        <color rgb="FFFFFFFF"/>
        <rFont val="Cambria"/>
        <family val="0"/>
        <charset val="1"/>
      </rPr>
      <t xml:space="preserve">(1</t>
    </r>
    <r>
      <rPr>
        <b val="true"/>
        <sz val="12"/>
        <color rgb="FFFFFFFF"/>
        <rFont val="Noto Sans CJK SC"/>
        <family val="2"/>
      </rPr>
      <t xml:space="preserve">월만</t>
    </r>
    <r>
      <rPr>
        <b val="true"/>
        <sz val="12"/>
        <color rgb="FFFFFFFF"/>
        <rFont val="Cambria"/>
        <family val="0"/>
        <charset val="1"/>
      </rPr>
      <t xml:space="preserve">)</t>
    </r>
  </si>
  <si>
    <t xml:space="preserve">월별 마진 성과</t>
  </si>
  <si>
    <r>
      <rPr>
        <b val="true"/>
        <sz val="10"/>
        <rFont val="Noto Sans CJK SC"/>
        <family val="2"/>
      </rPr>
      <t xml:space="preserve">매출총이익률 </t>
    </r>
    <r>
      <rPr>
        <b val="true"/>
        <sz val="10"/>
        <rFont val="Cambria"/>
        <family val="0"/>
        <charset val="1"/>
      </rPr>
      <t xml:space="preserve">%</t>
    </r>
  </si>
  <si>
    <t xml:space="preserve">누계 평균</t>
  </si>
  <si>
    <r>
      <rPr>
        <b val="true"/>
        <sz val="10"/>
        <rFont val="Noto Sans CJK SC"/>
        <family val="2"/>
      </rPr>
      <t xml:space="preserve">순이익률 </t>
    </r>
    <r>
      <rPr>
        <b val="true"/>
        <sz val="10"/>
        <rFont val="Cambria"/>
        <family val="0"/>
        <charset val="1"/>
      </rPr>
      <t xml:space="preserve">% (</t>
    </r>
    <r>
      <rPr>
        <b val="true"/>
        <sz val="10"/>
        <rFont val="Noto Sans CJK SC"/>
        <family val="2"/>
      </rPr>
      <t xml:space="preserve">운영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</si>
  <si>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순이익률 </t>
    </r>
    <r>
      <rPr>
        <b val="true"/>
        <sz val="10"/>
        <rFont val="Cambria"/>
        <family val="0"/>
        <charset val="1"/>
      </rPr>
      <t xml:space="preserve">% (</t>
    </r>
    <r>
      <rPr>
        <b val="true"/>
        <sz val="10"/>
        <rFont val="Noto Sans CJK SC"/>
        <family val="2"/>
      </rPr>
      <t xml:space="preserve">최종</t>
    </r>
    <r>
      <rPr>
        <b val="true"/>
        <sz val="10"/>
        <rFont val="Cambria"/>
        <family val="0"/>
        <charset val="1"/>
      </rPr>
      <t xml:space="preserve">)</t>
    </r>
  </si>
  <si>
    <t xml:space="preserve">비용 카테고리 분석</t>
  </si>
  <si>
    <r>
      <rPr>
        <sz val="11"/>
        <color theme="1"/>
        <rFont val="Noto Sans CJK SC"/>
        <family val="2"/>
      </rPr>
      <t xml:space="preserve">총 급여 </t>
    </r>
    <r>
      <rPr>
        <sz val="11"/>
        <color theme="1"/>
        <rFont val="Calibri"/>
        <family val="2"/>
        <charset val="1"/>
      </rPr>
      <t xml:space="preserve">% (COGS + </t>
    </r>
    <r>
      <rPr>
        <sz val="11"/>
        <color theme="1"/>
        <rFont val="Noto Sans CJK SC"/>
        <family val="2"/>
      </rPr>
      <t xml:space="preserve">운영비</t>
    </r>
    <r>
      <rPr>
        <sz val="11"/>
        <color theme="1"/>
        <rFont val="Calibri"/>
        <family val="2"/>
        <charset val="1"/>
      </rPr>
      <t xml:space="preserve">)</t>
    </r>
  </si>
  <si>
    <t xml:space="preserve">수익 대비</t>
  </si>
  <si>
    <r>
      <rPr>
        <sz val="11"/>
        <color theme="1"/>
        <rFont val="Noto Sans CJK SC"/>
        <family val="2"/>
      </rPr>
      <t xml:space="preserve">자재 및 화학물질 </t>
    </r>
    <r>
      <rPr>
        <sz val="11"/>
        <color theme="1"/>
        <rFont val="Calibri"/>
        <family val="2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</si>
  <si>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총 공공요금 </t>
    </r>
    <r>
      <rPr>
        <sz val="11"/>
        <color theme="1"/>
        <rFont val="Calibri"/>
        <family val="2"/>
        <charset val="1"/>
      </rPr>
      <t xml:space="preserve">%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</si>
</sst>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Cambria"/>
      <family val="0"/>
      <charset val="1"/>
    </font>
    <font>
      <i val="true"/>
      <sz val="10"/>
      <name val="Noto Sans CJK SC"/>
      <family val="2"/>
    </font>
    <font>
      <i val="true"/>
      <sz val="10"/>
      <name val="Cambria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0"/>
      <color rgb="FFFFFFFF"/>
      <name val="Noto Sans CJK SC"/>
      <family val="2"/>
    </font>
    <font>
      <i val="true"/>
      <sz val="9"/>
      <color rgb="FF666666"/>
      <name val="Cambria"/>
      <family val="0"/>
      <charset val="1"/>
    </font>
    <font>
      <i val="true"/>
      <sz val="9"/>
      <color rgb="FF666666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2"/>
      <color rgb="FFFFFFFF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FFC000"/>
        <bgColor rgb="FFFF9900"/>
      </patternFill>
    </fill>
    <fill>
      <patternFill patternType="solid">
        <fgColor rgb="FFD9E1F2"/>
        <bgColor rgb="FFE7E6E6"/>
      </patternFill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  <fill>
      <patternFill patternType="solid">
        <fgColor rgb="FFE7E6E6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FF6600"/>
      <rgbColor rgb="FF666666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1"/>
    <col collapsed="false" customWidth="true" hidden="false" outlineLevel="0" max="16" min="3" style="0" width="13"/>
  </cols>
  <sheetData>
    <row r="1" customFormat="false" ht="21.6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7.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5" t="s">
        <v>15</v>
      </c>
      <c r="O4" s="5" t="s">
        <v>16</v>
      </c>
      <c r="P4" s="5" t="s">
        <v>17</v>
      </c>
    </row>
    <row r="5" customFormat="false" ht="15" hidden="false" customHeight="false" outlineLevel="0" collapsed="false">
      <c r="A5" s="6" t="s">
        <v>18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8" t="s">
        <v>19</v>
      </c>
    </row>
    <row r="6" customFormat="false" ht="17.15" hidden="false" customHeight="false" outlineLevel="0" collapsed="false">
      <c r="A6" s="9" t="s">
        <v>20</v>
      </c>
      <c r="B6" s="10" t="n">
        <v>844680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1" t="n">
        <f aca="false">SUM(B6:M6)</f>
        <v>844680</v>
      </c>
      <c r="O6" s="12" t="n">
        <v>1</v>
      </c>
      <c r="P6" s="13" t="n">
        <f aca="false">IFERROR(B6/962703.5*100,0)</f>
        <v>87.7404102093739</v>
      </c>
    </row>
    <row r="8" customFormat="false" ht="15" hidden="false" customHeight="false" outlineLevel="0" collapsed="false">
      <c r="A8" s="6" t="s">
        <v>21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customFormat="false" ht="17.15" hidden="false" customHeight="false" outlineLevel="0" collapsed="false">
      <c r="A9" s="9" t="s">
        <v>22</v>
      </c>
      <c r="B9" s="10" t="n">
        <v>191612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4" t="n">
        <f aca="false">SUM(B9:M9)</f>
        <v>191612</v>
      </c>
      <c r="O9" s="15" t="n">
        <f aca="false">N9/N$6</f>
        <v>0.226845669365914</v>
      </c>
      <c r="P9" s="16" t="n">
        <f aca="false">IFERROR(B9/1*100,0)</f>
        <v>19161200</v>
      </c>
    </row>
    <row r="10" customFormat="false" ht="17.15" hidden="false" customHeight="false" outlineLevel="0" collapsed="false">
      <c r="A10" s="9" t="s">
        <v>23</v>
      </c>
      <c r="B10" s="10" t="n">
        <v>13153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4" t="n">
        <f aca="false">SUM(B10:M10)</f>
        <v>13153</v>
      </c>
      <c r="O10" s="15" t="n">
        <f aca="false">N10/N$6</f>
        <v>0.0155715774020931</v>
      </c>
      <c r="P10" s="16" t="n">
        <f aca="false">IFERROR(B10/148402.5*100,0)</f>
        <v>8.86305823688954</v>
      </c>
    </row>
    <row r="11" customFormat="false" ht="17.15" hidden="false" customHeight="false" outlineLevel="0" collapsed="false">
      <c r="A11" s="9" t="s">
        <v>24</v>
      </c>
      <c r="B11" s="10" t="n">
        <v>1126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4" t="n">
        <f aca="false">SUM(B11:M11)</f>
        <v>1126</v>
      </c>
      <c r="O11" s="15" t="n">
        <f aca="false">N11/N$6</f>
        <v>0.00133304920206469</v>
      </c>
      <c r="P11" s="16" t="n">
        <f aca="false">IFERROR(B11/29225.5*100,0)</f>
        <v>3.85279978101316</v>
      </c>
    </row>
    <row r="12" customFormat="false" ht="15" hidden="false" customHeight="false" outlineLevel="0" collapsed="false">
      <c r="A12" s="9" t="s">
        <v>25</v>
      </c>
      <c r="B12" s="10" t="n">
        <v>104446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4" t="n">
        <f aca="false">SUM(B12:M12)</f>
        <v>104446</v>
      </c>
      <c r="O12" s="15" t="n">
        <f aca="false">N12/N$6</f>
        <v>0.123651560354217</v>
      </c>
      <c r="P12" s="16" t="n">
        <f aca="false">IFERROR(B12/76*100,0)</f>
        <v>137428.947368421</v>
      </c>
    </row>
    <row r="13" customFormat="false" ht="17.15" hidden="false" customHeight="false" outlineLevel="0" collapsed="false">
      <c r="A13" s="9" t="s">
        <v>26</v>
      </c>
      <c r="B13" s="10" t="n">
        <v>7667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4" t="n">
        <f aca="false">SUM(B13:M13)</f>
        <v>7667</v>
      </c>
      <c r="O13" s="15" t="n">
        <f aca="false">N13/N$6</f>
        <v>0.00907681015295733</v>
      </c>
      <c r="P13" s="16" t="n">
        <f aca="false">IFERROR(B13/110830.5*100,0)</f>
        <v>6.91777083023175</v>
      </c>
    </row>
    <row r="14" customFormat="false" ht="17.15" hidden="false" customHeight="false" outlineLevel="0" collapsed="false">
      <c r="A14" s="9" t="s">
        <v>27</v>
      </c>
      <c r="B14" s="10" t="n">
        <v>1365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4" t="n">
        <f aca="false">SUM(B14:M14)</f>
        <v>1365</v>
      </c>
      <c r="O14" s="15" t="n">
        <f aca="false">N14/N$6</f>
        <v>0.00161599659042478</v>
      </c>
      <c r="P14" s="16" t="n">
        <f aca="false">IFERROR(B14/79642*100,0)</f>
        <v>1.71391979106502</v>
      </c>
    </row>
    <row r="15" customFormat="false" ht="15" hidden="false" customHeight="false" outlineLevel="0" collapsed="false">
      <c r="A15" s="9" t="s">
        <v>28</v>
      </c>
      <c r="B15" s="10" t="n">
        <v>7529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4" t="n">
        <f aca="false">SUM(B15:M15)</f>
        <v>7529</v>
      </c>
      <c r="O15" s="15" t="n">
        <f aca="false">N15/N$6</f>
        <v>0.00891343467348582</v>
      </c>
      <c r="P15" s="16" t="n">
        <f aca="false">IFERROR(B15/2943.5*100,0)</f>
        <v>255.783930694751</v>
      </c>
    </row>
    <row r="16" customFormat="false" ht="15" hidden="false" customHeight="false" outlineLevel="0" collapsed="false">
      <c r="A16" s="9" t="s">
        <v>29</v>
      </c>
      <c r="B16" s="10" t="n">
        <v>3850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4" t="n">
        <f aca="false">SUM(B16:M16)</f>
        <v>3850</v>
      </c>
      <c r="O16" s="15" t="n">
        <f aca="false">N16/N$6</f>
        <v>0.00455793910119809</v>
      </c>
      <c r="P16" s="16" t="n">
        <f aca="false">IFERROR(B16/2437.5*100,0)</f>
        <v>157.948717948718</v>
      </c>
    </row>
    <row r="17" customFormat="false" ht="15" hidden="false" customHeight="false" outlineLevel="0" collapsed="false">
      <c r="A17" s="9" t="s">
        <v>30</v>
      </c>
      <c r="B17" s="10" t="n">
        <v>560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4" t="n">
        <f aca="false">SUM(B17:M17)</f>
        <v>560</v>
      </c>
      <c r="O17" s="15" t="n">
        <f aca="false">N17/N$6</f>
        <v>0.000662972960174267</v>
      </c>
      <c r="P17" s="16" t="n">
        <f aca="false">IFERROR(B17/551*100,0)</f>
        <v>101.633393829401</v>
      </c>
    </row>
    <row r="18" customFormat="false" ht="17.15" hidden="false" customHeight="false" outlineLevel="0" collapsed="false">
      <c r="A18" s="9" t="s">
        <v>31</v>
      </c>
      <c r="B18" s="10" t="n">
        <v>2692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4" t="n">
        <f aca="false">SUM(B18:M18)</f>
        <v>2692</v>
      </c>
      <c r="O18" s="15" t="n">
        <f aca="false">N18/N$6</f>
        <v>0.00318700572998058</v>
      </c>
      <c r="P18" s="16" t="n">
        <f aca="false">IFERROR(B18/5171*100,0)</f>
        <v>52.0595629472056</v>
      </c>
    </row>
    <row r="19" customFormat="false" ht="17.15" hidden="false" customHeight="false" outlineLevel="0" collapsed="false">
      <c r="A19" s="9" t="s">
        <v>32</v>
      </c>
      <c r="B19" s="10" t="n">
        <v>49255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4" t="n">
        <f aca="false">SUM(B19:M19)</f>
        <v>49255</v>
      </c>
      <c r="O19" s="15" t="n">
        <f aca="false">N19/N$6</f>
        <v>0.0583120234881849</v>
      </c>
      <c r="P19" s="16" t="n">
        <f aca="false">IFERROR(B19/7044*100,0)</f>
        <v>699.247586598524</v>
      </c>
    </row>
    <row r="20" customFormat="false" ht="17.15" hidden="false" customHeight="false" outlineLevel="0" collapsed="false">
      <c r="A20" s="9" t="s">
        <v>33</v>
      </c>
      <c r="B20" s="10" t="n">
        <v>25988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4" t="n">
        <f aca="false">SUM(B20:M20)</f>
        <v>25988</v>
      </c>
      <c r="O20" s="15" t="n">
        <f aca="false">N20/N$6</f>
        <v>0.0307666808732301</v>
      </c>
      <c r="P20" s="16" t="n">
        <f aca="false">IFERROR(B20/1*100,0)</f>
        <v>2598800</v>
      </c>
    </row>
    <row r="21" customFormat="false" ht="15" hidden="false" customHeight="false" outlineLevel="0" collapsed="false">
      <c r="A21" s="17" t="s">
        <v>34</v>
      </c>
      <c r="B21" s="18" t="n">
        <v>409243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1" t="n">
        <f aca="false">SUM(B21:M21)</f>
        <v>409243</v>
      </c>
      <c r="O21" s="12" t="n">
        <f aca="false">N21/N$6</f>
        <v>0.484494719893924</v>
      </c>
      <c r="P21" s="13" t="n">
        <f aca="false">IFERROR(B21/1051*100,0)</f>
        <v>38938.4395813511</v>
      </c>
    </row>
    <row r="23" customFormat="false" ht="15" hidden="false" customHeight="false" outlineLevel="0" collapsed="false">
      <c r="A23" s="19" t="s">
        <v>35</v>
      </c>
      <c r="B23" s="20" t="n">
        <f aca="false">B6-B21</f>
        <v>435437</v>
      </c>
      <c r="C23" s="20" t="n">
        <f aca="false">C6-C21</f>
        <v>0</v>
      </c>
      <c r="D23" s="20" t="n">
        <f aca="false">D6-D21</f>
        <v>0</v>
      </c>
      <c r="E23" s="20" t="n">
        <f aca="false">E6-E21</f>
        <v>0</v>
      </c>
      <c r="F23" s="20" t="n">
        <f aca="false">F6-F21</f>
        <v>0</v>
      </c>
      <c r="G23" s="20" t="n">
        <f aca="false">G6-G21</f>
        <v>0</v>
      </c>
      <c r="H23" s="20" t="n">
        <f aca="false">H6-H21</f>
        <v>0</v>
      </c>
      <c r="I23" s="20" t="n">
        <f aca="false">I6-I21</f>
        <v>0</v>
      </c>
      <c r="J23" s="20" t="n">
        <f aca="false">J6-J21</f>
        <v>0</v>
      </c>
      <c r="K23" s="20" t="n">
        <f aca="false">K6-K21</f>
        <v>0</v>
      </c>
      <c r="L23" s="20" t="n">
        <f aca="false">L6-L21</f>
        <v>0</v>
      </c>
      <c r="M23" s="20" t="n">
        <f aca="false">M6-M21</f>
        <v>0</v>
      </c>
      <c r="N23" s="20" t="n">
        <f aca="false">N6-N21</f>
        <v>435437</v>
      </c>
      <c r="O23" s="21" t="n">
        <f aca="false">N23/N$6</f>
        <v>0.515505280106076</v>
      </c>
      <c r="P23" s="16" t="n">
        <f aca="false">IFERROR(B23/30047.5*100,0)</f>
        <v>1449.16215991347</v>
      </c>
    </row>
    <row r="25" customFormat="false" ht="15" hidden="false" customHeight="false" outlineLevel="0" collapsed="false">
      <c r="A25" s="6" t="s">
        <v>36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customFormat="false" ht="17.15" hidden="false" customHeight="false" outlineLevel="0" collapsed="false">
      <c r="A26" s="9" t="s">
        <v>37</v>
      </c>
      <c r="B26" s="10" t="n">
        <v>57800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4" t="n">
        <f aca="false">SUM(B26:M26)</f>
        <v>57800</v>
      </c>
      <c r="O26" s="15" t="n">
        <f aca="false">N26/N$6</f>
        <v>0.0684282805322726</v>
      </c>
      <c r="P26" s="16" t="n">
        <f aca="false">IFERROR(B26/51335.5*100,0)</f>
        <v>112.592650310214</v>
      </c>
    </row>
    <row r="27" customFormat="false" ht="15" hidden="false" customHeight="false" outlineLevel="0" collapsed="false">
      <c r="A27" s="9" t="s">
        <v>38</v>
      </c>
      <c r="B27" s="10" t="n">
        <v>6269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4" t="n">
        <f aca="false">SUM(B27:M27)</f>
        <v>6269</v>
      </c>
      <c r="O27" s="15" t="n">
        <f aca="false">N27/N$6</f>
        <v>0.00742174551309372</v>
      </c>
      <c r="P27" s="16" t="n">
        <f aca="false">IFERROR(B27/13671.5*100,0)</f>
        <v>45.8545148666935</v>
      </c>
    </row>
    <row r="28" customFormat="false" ht="15" hidden="false" customHeight="false" outlineLevel="0" collapsed="false">
      <c r="A28" s="9" t="s">
        <v>39</v>
      </c>
      <c r="B28" s="10" t="n">
        <v>2863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4" t="n">
        <f aca="false">SUM(B28:M28)</f>
        <v>2863</v>
      </c>
      <c r="O28" s="15" t="n">
        <f aca="false">N28/N$6</f>
        <v>0.00338944925889094</v>
      </c>
      <c r="P28" s="16" t="n">
        <f aca="false">IFERROR(B28/358077.5*100,0)</f>
        <v>0.799547583972743</v>
      </c>
    </row>
    <row r="29" customFormat="false" ht="15" hidden="false" customHeight="false" outlineLevel="0" collapsed="false">
      <c r="A29" s="9" t="s">
        <v>40</v>
      </c>
      <c r="B29" s="10" t="n">
        <v>87672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4" t="n">
        <f aca="false">SUM(B29:M29)</f>
        <v>87672</v>
      </c>
      <c r="O29" s="15" t="n">
        <f aca="false">N29/N$6</f>
        <v>0.103793152436426</v>
      </c>
      <c r="P29" s="16" t="n">
        <f aca="false">IFERROR(B29/360528.5*100,0)</f>
        <v>24.3176336960878</v>
      </c>
    </row>
    <row r="30" customFormat="false" ht="15" hidden="false" customHeight="false" outlineLevel="0" collapsed="false">
      <c r="A30" s="9" t="s">
        <v>41</v>
      </c>
      <c r="B30" s="10" t="n">
        <v>16764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4" t="n">
        <f aca="false">SUM(B30:M30)</f>
        <v>16764</v>
      </c>
      <c r="O30" s="15" t="n">
        <f aca="false">N30/N$6</f>
        <v>0.0198465691149311</v>
      </c>
      <c r="P30" s="16" t="n">
        <f aca="false">IFERROR(B30/1*100,0)</f>
        <v>1676400</v>
      </c>
    </row>
    <row r="31" customFormat="false" ht="17.15" hidden="false" customHeight="false" outlineLevel="0" collapsed="false">
      <c r="A31" s="9" t="s">
        <v>42</v>
      </c>
      <c r="B31" s="10" t="n">
        <v>2059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4" t="n">
        <f aca="false">SUM(B31:M31)</f>
        <v>2059</v>
      </c>
      <c r="O31" s="15" t="n">
        <f aca="false">N31/N$6</f>
        <v>0.00243760950892646</v>
      </c>
      <c r="P31" s="16" t="n">
        <f aca="false">IFERROR(B31/1*100,0)</f>
        <v>205900</v>
      </c>
    </row>
    <row r="32" customFormat="false" ht="17.15" hidden="false" customHeight="false" outlineLevel="0" collapsed="false">
      <c r="A32" s="9" t="s">
        <v>43</v>
      </c>
      <c r="B32" s="10" t="n">
        <v>547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4" t="n">
        <f aca="false">SUM(B32:M32)</f>
        <v>547</v>
      </c>
      <c r="O32" s="15" t="n">
        <f aca="false">N32/N$6</f>
        <v>0.000647582516455936</v>
      </c>
      <c r="P32" s="16" t="n">
        <f aca="false">IFERROR(B32/1*100,0)</f>
        <v>54700</v>
      </c>
    </row>
    <row r="33" customFormat="false" ht="15" hidden="false" customHeight="false" outlineLevel="0" collapsed="false">
      <c r="A33" s="9" t="s">
        <v>44</v>
      </c>
      <c r="B33" s="10" t="n">
        <v>3000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4" t="n">
        <f aca="false">SUM(B33:M33)</f>
        <v>3000</v>
      </c>
      <c r="O33" s="15" t="n">
        <f aca="false">N33/N$6</f>
        <v>0.00355164085807643</v>
      </c>
      <c r="P33" s="16" t="n">
        <f aca="false">IFERROR(B33/48990*100,0)</f>
        <v>6.12369871402327</v>
      </c>
    </row>
    <row r="34" customFormat="false" ht="15" hidden="false" customHeight="false" outlineLevel="0" collapsed="false">
      <c r="A34" s="9" t="s">
        <v>45</v>
      </c>
      <c r="B34" s="10" t="n">
        <v>1069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4" t="n">
        <f aca="false">SUM(B34:M34)</f>
        <v>1069</v>
      </c>
      <c r="O34" s="15" t="n">
        <f aca="false">N34/N$6</f>
        <v>0.00126556802576124</v>
      </c>
      <c r="P34" s="16" t="n">
        <f aca="false">IFERROR(B34/945*100,0)</f>
        <v>113.121693121693</v>
      </c>
    </row>
    <row r="35" customFormat="false" ht="15" hidden="false" customHeight="false" outlineLevel="0" collapsed="false">
      <c r="A35" s="9" t="s">
        <v>46</v>
      </c>
      <c r="B35" s="10" t="n">
        <v>1402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4" t="n">
        <f aca="false">SUM(B35:M35)</f>
        <v>1402</v>
      </c>
      <c r="O35" s="15" t="n">
        <f aca="false">N35/N$6</f>
        <v>0.00165980016100772</v>
      </c>
      <c r="P35" s="16" t="n">
        <f aca="false">IFERROR(B35/617.5*100,0)</f>
        <v>227.044534412955</v>
      </c>
    </row>
    <row r="36" customFormat="false" ht="15" hidden="false" customHeight="false" outlineLevel="0" collapsed="false">
      <c r="A36" s="9" t="s">
        <v>47</v>
      </c>
      <c r="B36" s="10" t="n">
        <v>652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4" t="n">
        <f aca="false">SUM(B36:M36)</f>
        <v>652</v>
      </c>
      <c r="O36" s="15" t="n">
        <f aca="false">N36/N$6</f>
        <v>0.000771889946488611</v>
      </c>
      <c r="P36" s="16" t="n">
        <f aca="false">IFERROR(B36/78828.5*100,0)</f>
        <v>0.82711202166729</v>
      </c>
    </row>
    <row r="37" customFormat="false" ht="15" hidden="false" customHeight="false" outlineLevel="0" collapsed="false">
      <c r="A37" s="9" t="s">
        <v>48</v>
      </c>
      <c r="B37" s="10" t="n">
        <v>1065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4" t="n">
        <f aca="false">SUM(B37:M37)</f>
        <v>1065</v>
      </c>
      <c r="O37" s="15" t="n">
        <f aca="false">N37/N$6</f>
        <v>0.00126083250461713</v>
      </c>
      <c r="P37" s="16" t="n">
        <f aca="false">IFERROR(B37/1*100,0)</f>
        <v>106500</v>
      </c>
    </row>
    <row r="38" customFormat="false" ht="15" hidden="false" customHeight="false" outlineLevel="0" collapsed="false">
      <c r="A38" s="9" t="s">
        <v>49</v>
      </c>
      <c r="B38" s="10" t="n">
        <v>843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4" t="n">
        <f aca="false">SUM(B38:M38)</f>
        <v>843</v>
      </c>
      <c r="O38" s="15" t="n">
        <f aca="false">N38/N$6</f>
        <v>0.000998011081119477</v>
      </c>
      <c r="P38" s="16" t="n">
        <f aca="false">IFERROR(B38/53.5*100,0)</f>
        <v>1575.70093457944</v>
      </c>
    </row>
    <row r="39" customFormat="false" ht="15" hidden="false" customHeight="false" outlineLevel="0" collapsed="false">
      <c r="A39" s="9" t="s">
        <v>50</v>
      </c>
      <c r="B39" s="10" t="n">
        <v>1728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4" t="n">
        <f aca="false">SUM(B39:M39)</f>
        <v>1728</v>
      </c>
      <c r="O39" s="15" t="n">
        <f aca="false">N39/N$6</f>
        <v>0.00204574513425202</v>
      </c>
      <c r="P39" s="16" t="n">
        <f aca="false">IFERROR(B39/49669*100,0)</f>
        <v>3.47903118645433</v>
      </c>
    </row>
    <row r="40" customFormat="false" ht="17.15" hidden="false" customHeight="false" outlineLevel="0" collapsed="false">
      <c r="A40" s="9" t="s">
        <v>51</v>
      </c>
      <c r="B40" s="10" t="n">
        <v>800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4" t="n">
        <f aca="false">SUM(B40:M40)</f>
        <v>800</v>
      </c>
      <c r="O40" s="15" t="n">
        <f aca="false">N40/N$6</f>
        <v>0.000947104228820382</v>
      </c>
      <c r="P40" s="16" t="n">
        <f aca="false">IFERROR(B40/3500*100,0)</f>
        <v>22.8571428571429</v>
      </c>
    </row>
    <row r="41" customFormat="false" ht="17.15" hidden="false" customHeight="false" outlineLevel="0" collapsed="false">
      <c r="A41" s="9" t="s">
        <v>52</v>
      </c>
      <c r="B41" s="10" t="n">
        <v>38125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4" t="n">
        <f aca="false">SUM(B41:M41)</f>
        <v>38125</v>
      </c>
      <c r="O41" s="15" t="n">
        <f aca="false">N41/N$6</f>
        <v>0.0451354359047213</v>
      </c>
      <c r="P41" s="16" t="n">
        <f aca="false">IFERROR(B41/933*100,0)</f>
        <v>4086.28081457663</v>
      </c>
    </row>
    <row r="42" customFormat="false" ht="17.15" hidden="false" customHeight="false" outlineLevel="0" collapsed="false">
      <c r="A42" s="9" t="s">
        <v>53</v>
      </c>
      <c r="B42" s="10" t="n">
        <v>3849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4" t="n">
        <f aca="false">SUM(B42:M42)</f>
        <v>3849</v>
      </c>
      <c r="O42" s="15" t="n">
        <f aca="false">N42/N$6</f>
        <v>0.00455675522091206</v>
      </c>
      <c r="P42" s="16" t="n">
        <f aca="false">IFERROR(B42/6963.5*100,0)</f>
        <v>55.2739283406333</v>
      </c>
    </row>
    <row r="43" customFormat="false" ht="17.15" hidden="false" customHeight="false" outlineLevel="0" collapsed="false">
      <c r="A43" s="9" t="s">
        <v>54</v>
      </c>
      <c r="B43" s="10" t="n">
        <v>1924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4" t="n">
        <f aca="false">SUM(B43:M43)</f>
        <v>1924</v>
      </c>
      <c r="O43" s="15" t="n">
        <f aca="false">N43/N$6</f>
        <v>0.00227778567031302</v>
      </c>
      <c r="P43" s="16" t="n">
        <f aca="false">IFERROR(B43/895.5*100,0)</f>
        <v>214.852037967616</v>
      </c>
    </row>
    <row r="44" customFormat="false" ht="17.15" hidden="false" customHeight="false" outlineLevel="0" collapsed="false">
      <c r="A44" s="9" t="s">
        <v>55</v>
      </c>
      <c r="B44" s="10" t="n">
        <v>600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4" t="n">
        <f aca="false">SUM(B44:M44)</f>
        <v>600</v>
      </c>
      <c r="O44" s="15" t="n">
        <f aca="false">N44/N$6</f>
        <v>0.000710328171615286</v>
      </c>
      <c r="P44" s="16" t="n">
        <f aca="false">IFERROR(B44/752*100,0)</f>
        <v>79.7872340425532</v>
      </c>
    </row>
    <row r="45" customFormat="false" ht="15" hidden="false" customHeight="false" outlineLevel="0" collapsed="false">
      <c r="A45" s="9" t="s">
        <v>56</v>
      </c>
      <c r="B45" s="10" t="n">
        <v>349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4" t="n">
        <f aca="false">SUM(B45:M45)</f>
        <v>349</v>
      </c>
      <c r="O45" s="15" t="n">
        <f aca="false">N45/N$6</f>
        <v>0.000413174219822892</v>
      </c>
      <c r="P45" s="16" t="n">
        <f aca="false">IFERROR(B45/459*100,0)</f>
        <v>76.0348583877996</v>
      </c>
    </row>
    <row r="46" customFormat="false" ht="15" hidden="false" customHeight="false" outlineLevel="0" collapsed="false">
      <c r="A46" s="9" t="s">
        <v>57</v>
      </c>
      <c r="B46" s="10" t="n">
        <v>108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4" t="n">
        <f aca="false">SUM(B46:M46)</f>
        <v>108</v>
      </c>
      <c r="O46" s="15" t="n">
        <f aca="false">N46/N$6</f>
        <v>0.000127859070890752</v>
      </c>
      <c r="P46" s="16" t="n">
        <f aca="false">IFERROR(B46/316.5*100,0)</f>
        <v>34.1232227488152</v>
      </c>
    </row>
    <row r="47" customFormat="false" ht="15" hidden="false" customHeight="false" outlineLevel="0" collapsed="false">
      <c r="A47" s="9" t="s">
        <v>58</v>
      </c>
      <c r="B47" s="10" t="n">
        <v>10000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4" t="n">
        <f aca="false">SUM(B47:M47)</f>
        <v>10000</v>
      </c>
      <c r="O47" s="15" t="n">
        <f aca="false">N47/N$6</f>
        <v>0.0118388028602548</v>
      </c>
      <c r="P47" s="16" t="n">
        <f aca="false">IFERROR(B47/419.5*100,0)</f>
        <v>2383.79022646007</v>
      </c>
    </row>
    <row r="48" customFormat="false" ht="15" hidden="false" customHeight="false" outlineLevel="0" collapsed="false">
      <c r="A48" s="9" t="s">
        <v>59</v>
      </c>
      <c r="B48" s="10" t="n">
        <v>2700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4" t="n">
        <f aca="false">SUM(B48:M48)</f>
        <v>2700</v>
      </c>
      <c r="O48" s="15" t="n">
        <f aca="false">N48/N$6</f>
        <v>0.00319647677226879</v>
      </c>
      <c r="P48" s="16" t="n">
        <f aca="false">IFERROR(B48/9171*100,0)</f>
        <v>29.4406280667321</v>
      </c>
    </row>
    <row r="49" customFormat="false" ht="15" hidden="false" customHeight="false" outlineLevel="0" collapsed="false">
      <c r="A49" s="9" t="s">
        <v>60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4" t="n">
        <f aca="false">SUM(B49:M49)</f>
        <v>0</v>
      </c>
      <c r="O49" s="15" t="n">
        <f aca="false">N49/N$6</f>
        <v>0</v>
      </c>
      <c r="P49" s="16" t="n">
        <f aca="false">IFERROR(B49/1*100,0)</f>
        <v>0</v>
      </c>
    </row>
    <row r="50" customFormat="false" ht="15" hidden="false" customHeight="false" outlineLevel="0" collapsed="false">
      <c r="A50" s="17" t="s">
        <v>61</v>
      </c>
      <c r="B50" s="18" t="n">
        <v>242189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1" t="n">
        <f aca="false">SUM(B50:M50)</f>
        <v>242189</v>
      </c>
      <c r="O50" s="12" t="n">
        <f aca="false">N50/N$6</f>
        <v>0.286722782592224</v>
      </c>
      <c r="P50" s="13" t="n">
        <f aca="false">IFERROR(B50/500*100,0)</f>
        <v>48437.8</v>
      </c>
    </row>
    <row r="52" customFormat="false" ht="17.15" hidden="false" customHeight="false" outlineLevel="0" collapsed="false">
      <c r="A52" s="22" t="s">
        <v>62</v>
      </c>
      <c r="B52" s="23" t="n">
        <v>193249</v>
      </c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 t="n">
        <f aca="false">SUM(B52:M52)</f>
        <v>193249</v>
      </c>
      <c r="O52" s="24" t="n">
        <f aca="false">N52/N$6</f>
        <v>0.228783681394137</v>
      </c>
      <c r="P52" s="16" t="n">
        <f aca="false">IFERROR(B52/1178*100,0)</f>
        <v>16404.8387096774</v>
      </c>
    </row>
    <row r="53" customFormat="false" ht="17.15" hidden="false" customHeight="false" outlineLevel="0" collapsed="false">
      <c r="A53" s="9" t="s">
        <v>63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4" t="n">
        <f aca="false">SUM(B53:M53)</f>
        <v>0</v>
      </c>
      <c r="O53" s="15" t="n">
        <f aca="false">N53/N$6</f>
        <v>0</v>
      </c>
      <c r="P53" s="16" t="n">
        <f aca="false">IFERROR(B53/11660*100,0)</f>
        <v>0</v>
      </c>
    </row>
    <row r="54" customFormat="false" ht="17.15" hidden="false" customHeight="false" outlineLevel="0" collapsed="false">
      <c r="A54" s="22" t="s">
        <v>64</v>
      </c>
      <c r="B54" s="23" t="n">
        <f aca="false">B52+B53</f>
        <v>193249</v>
      </c>
      <c r="C54" s="23" t="n">
        <f aca="false">C52+C53</f>
        <v>0</v>
      </c>
      <c r="D54" s="23" t="n">
        <f aca="false">D52+D53</f>
        <v>0</v>
      </c>
      <c r="E54" s="23" t="n">
        <f aca="false">E52+E53</f>
        <v>0</v>
      </c>
      <c r="F54" s="23" t="n">
        <f aca="false">F52+F53</f>
        <v>0</v>
      </c>
      <c r="G54" s="23" t="n">
        <f aca="false">G52+G53</f>
        <v>0</v>
      </c>
      <c r="H54" s="23" t="n">
        <f aca="false">H52+H53</f>
        <v>0</v>
      </c>
      <c r="I54" s="23" t="n">
        <f aca="false">I52+I53</f>
        <v>0</v>
      </c>
      <c r="J54" s="23" t="n">
        <f aca="false">J52+J53</f>
        <v>0</v>
      </c>
      <c r="K54" s="23" t="n">
        <f aca="false">K52+K53</f>
        <v>0</v>
      </c>
      <c r="L54" s="23" t="n">
        <f aca="false">L52+L53</f>
        <v>0</v>
      </c>
      <c r="M54" s="23" t="n">
        <f aca="false">M52+M53</f>
        <v>0</v>
      </c>
      <c r="N54" s="23" t="n">
        <f aca="false">N52+N53</f>
        <v>193249</v>
      </c>
      <c r="O54" s="24" t="n">
        <f aca="false">N54/N$6</f>
        <v>0.228783681394137</v>
      </c>
      <c r="P54" s="16" t="n">
        <f aca="false">IFERROR(B54/4911.5*100,0)</f>
        <v>3934.62282398453</v>
      </c>
    </row>
    <row r="57" customFormat="false" ht="19.4" hidden="false" customHeight="false" outlineLevel="0" collapsed="false">
      <c r="A57" s="25" t="s">
        <v>65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9" customFormat="false" ht="15" hidden="false" customHeight="false" outlineLevel="0" collapsed="false">
      <c r="A59" s="26" t="s">
        <v>66</v>
      </c>
      <c r="B59" s="26"/>
      <c r="C59" s="26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</row>
    <row r="60" customFormat="false" ht="15" hidden="false" customHeight="false" outlineLevel="0" collapsed="false">
      <c r="A60" s="28" t="s">
        <v>67</v>
      </c>
      <c r="B60" s="15" t="n">
        <f aca="false">IFERROR(B23/B6,0)</f>
        <v>0.515505280106076</v>
      </c>
      <c r="C60" s="15" t="n">
        <f aca="false">IFERROR(C23/C6,0)</f>
        <v>0</v>
      </c>
      <c r="D60" s="15" t="n">
        <f aca="false">IFERROR(D23/D6,0)</f>
        <v>0</v>
      </c>
      <c r="E60" s="15" t="n">
        <f aca="false">IFERROR(E23/E6,0)</f>
        <v>0</v>
      </c>
      <c r="F60" s="15" t="n">
        <f aca="false">IFERROR(F23/F6,0)</f>
        <v>0</v>
      </c>
      <c r="G60" s="15" t="n">
        <f aca="false">IFERROR(G23/G6,0)</f>
        <v>0</v>
      </c>
      <c r="H60" s="15" t="n">
        <f aca="false">IFERROR(H23/H6,0)</f>
        <v>0</v>
      </c>
      <c r="I60" s="15" t="n">
        <f aca="false">IFERROR(I23/I6,0)</f>
        <v>0</v>
      </c>
      <c r="J60" s="15" t="n">
        <f aca="false">IFERROR(J23/J6,0)</f>
        <v>0</v>
      </c>
      <c r="K60" s="15" t="n">
        <f aca="false">IFERROR(K23/K6,0)</f>
        <v>0</v>
      </c>
      <c r="L60" s="15" t="n">
        <f aca="false">IFERROR(L23/L6,0)</f>
        <v>0</v>
      </c>
      <c r="M60" s="15" t="n">
        <f aca="false">IFERROR(M23/M6,0)</f>
        <v>0</v>
      </c>
      <c r="N60" s="12" t="n">
        <f aca="false">IFERROR(N23/N6,0)</f>
        <v>0.515505280106076</v>
      </c>
      <c r="O60" s="9" t="s">
        <v>68</v>
      </c>
      <c r="P60" s="16" t="n">
        <f aca="false">IFERROR(B60/1*100,0)</f>
        <v>51.5505280106076</v>
      </c>
    </row>
    <row r="61" customFormat="false" ht="15" hidden="false" customHeight="false" outlineLevel="0" collapsed="false">
      <c r="A61" s="28" t="s">
        <v>69</v>
      </c>
      <c r="B61" s="15" t="n">
        <f aca="false">IFERROR(B52/B6,0)</f>
        <v>0.228783681394137</v>
      </c>
      <c r="C61" s="15" t="n">
        <f aca="false">IFERROR(C52/C6,0)</f>
        <v>0</v>
      </c>
      <c r="D61" s="15" t="n">
        <f aca="false">IFERROR(D52/D6,0)</f>
        <v>0</v>
      </c>
      <c r="E61" s="15" t="n">
        <f aca="false">IFERROR(E52/E6,0)</f>
        <v>0</v>
      </c>
      <c r="F61" s="15" t="n">
        <f aca="false">IFERROR(F52/F6,0)</f>
        <v>0</v>
      </c>
      <c r="G61" s="15" t="n">
        <f aca="false">IFERROR(G52/G6,0)</f>
        <v>0</v>
      </c>
      <c r="H61" s="15" t="n">
        <f aca="false">IFERROR(H52/H6,0)</f>
        <v>0</v>
      </c>
      <c r="I61" s="15" t="n">
        <f aca="false">IFERROR(I52/I6,0)</f>
        <v>0</v>
      </c>
      <c r="J61" s="15" t="n">
        <f aca="false">IFERROR(J52/J6,0)</f>
        <v>0</v>
      </c>
      <c r="K61" s="15" t="n">
        <f aca="false">IFERROR(K52/K6,0)</f>
        <v>0</v>
      </c>
      <c r="L61" s="15" t="n">
        <f aca="false">IFERROR(L52/L6,0)</f>
        <v>0</v>
      </c>
      <c r="M61" s="15" t="n">
        <f aca="false">IFERROR(M52/M6,0)</f>
        <v>0</v>
      </c>
      <c r="N61" s="12" t="n">
        <f aca="false">IFERROR(N52/N6,0)</f>
        <v>0.228783681394137</v>
      </c>
      <c r="O61" s="9" t="s">
        <v>68</v>
      </c>
      <c r="P61" s="16" t="n">
        <f aca="false">IFERROR(B61/1*100,0)</f>
        <v>22.8783681394137</v>
      </c>
    </row>
    <row r="62" customFormat="false" ht="15" hidden="false" customHeight="false" outlineLevel="0" collapsed="false">
      <c r="A62" s="28" t="s">
        <v>70</v>
      </c>
      <c r="B62" s="15" t="n">
        <f aca="false">IFERROR(B54/B6,0)</f>
        <v>0.228783681394137</v>
      </c>
      <c r="C62" s="15" t="n">
        <f aca="false">IFERROR(C54/C6,0)</f>
        <v>0</v>
      </c>
      <c r="D62" s="15" t="n">
        <f aca="false">IFERROR(D54/D6,0)</f>
        <v>0</v>
      </c>
      <c r="E62" s="15" t="n">
        <f aca="false">IFERROR(E54/E6,0)</f>
        <v>0</v>
      </c>
      <c r="F62" s="15" t="n">
        <f aca="false">IFERROR(F54/F6,0)</f>
        <v>0</v>
      </c>
      <c r="G62" s="15" t="n">
        <f aca="false">IFERROR(G54/G6,0)</f>
        <v>0</v>
      </c>
      <c r="H62" s="15" t="n">
        <f aca="false">IFERROR(H54/H6,0)</f>
        <v>0</v>
      </c>
      <c r="I62" s="15" t="n">
        <f aca="false">IFERROR(I54/I6,0)</f>
        <v>0</v>
      </c>
      <c r="J62" s="15" t="n">
        <f aca="false">IFERROR(J54/J6,0)</f>
        <v>0</v>
      </c>
      <c r="K62" s="15" t="n">
        <f aca="false">IFERROR(K54/K6,0)</f>
        <v>0</v>
      </c>
      <c r="L62" s="15" t="n">
        <f aca="false">IFERROR(L54/L6,0)</f>
        <v>0</v>
      </c>
      <c r="M62" s="15" t="n">
        <f aca="false">IFERROR(M54/M6,0)</f>
        <v>0</v>
      </c>
      <c r="N62" s="12" t="n">
        <f aca="false">IFERROR(N54/N6,0)</f>
        <v>0.228783681394137</v>
      </c>
      <c r="O62" s="9" t="s">
        <v>68</v>
      </c>
      <c r="P62" s="16" t="n">
        <f aca="false">IFERROR(B62/868.5*100,0)</f>
        <v>0.0263423927914954</v>
      </c>
    </row>
    <row r="64" customFormat="false" ht="15" hidden="false" customHeight="false" outlineLevel="0" collapsed="false">
      <c r="A64" s="26" t="s">
        <v>71</v>
      </c>
      <c r="B64" s="26"/>
      <c r="C64" s="26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</row>
    <row r="65" customFormat="false" ht="17.15" hidden="false" customHeight="false" outlineLevel="0" collapsed="false">
      <c r="A65" s="9" t="s">
        <v>72</v>
      </c>
      <c r="N65" s="12" t="n">
        <f aca="false">(N10+N11+N12+N25+N26+N27)/N6</f>
        <v>0.216406213003741</v>
      </c>
      <c r="O65" s="9" t="s">
        <v>73</v>
      </c>
    </row>
    <row r="66" customFormat="false" ht="17.15" hidden="false" customHeight="false" outlineLevel="0" collapsed="false">
      <c r="A66" s="9" t="s">
        <v>74</v>
      </c>
      <c r="N66" s="12" t="n">
        <f aca="false">(N13+N14+N15+N16)/N6</f>
        <v>0.024164180518066</v>
      </c>
      <c r="O66" s="9" t="s">
        <v>73</v>
      </c>
    </row>
    <row r="67" customFormat="false" ht="17.15" hidden="false" customHeight="false" outlineLevel="0" collapsed="false">
      <c r="A67" s="9" t="s">
        <v>75</v>
      </c>
      <c r="N67" s="12" t="n">
        <f aca="false">(N20+N21)/N6</f>
        <v>0.515261400767154</v>
      </c>
      <c r="O67" s="9" t="s">
        <v>73</v>
      </c>
    </row>
  </sheetData>
  <mergeCells count="5">
    <mergeCell ref="A1:O1"/>
    <mergeCell ref="A2:O2"/>
    <mergeCell ref="A57:O57"/>
    <mergeCell ref="A59:C59"/>
    <mergeCell ref="A64:C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2026-02-09T22:36:40Z</dcterms:created>
  <dc:creator>openpyxl</dc:creator>
  <dc:description/>
  <dc:language>en-US</dc:language>
  <cp:lastModifiedBy/>
  <dcterms:modified xsi:type="dcterms:W3CDTF">2026-02-09T22:36:41Z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